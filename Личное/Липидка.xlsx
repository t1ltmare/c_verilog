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GIT\c_verilog\Личное\"/>
    </mc:Choice>
  </mc:AlternateContent>
  <xr:revisionPtr revIDLastSave="0" documentId="13_ncr:1_{AC58E892-250A-4754-8B2B-ACB96046103D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Z2" i="1"/>
  <c r="W2" i="1"/>
  <c r="D12" i="1"/>
  <c r="D8" i="1"/>
  <c r="D5" i="1"/>
  <c r="D3" i="1"/>
</calcChain>
</file>

<file path=xl/sharedStrings.xml><?xml version="1.0" encoding="utf-8"?>
<sst xmlns="http://schemas.openxmlformats.org/spreadsheetml/2006/main" count="64" uniqueCount="56">
  <si>
    <t>Потери жидкости</t>
  </si>
  <si>
    <t>Дата</t>
  </si>
  <si>
    <t>До</t>
  </si>
  <si>
    <t>После</t>
  </si>
  <si>
    <t>Количество клетчатки с овощей</t>
  </si>
  <si>
    <t>Клетч-ка</t>
  </si>
  <si>
    <t>Кардио 90 минут</t>
  </si>
  <si>
    <t>Дельта</t>
  </si>
  <si>
    <t>25 мин.</t>
  </si>
  <si>
    <t>Кол-во</t>
  </si>
  <si>
    <t>Пульс</t>
  </si>
  <si>
    <t>Вес (г.)</t>
  </si>
  <si>
    <t>Пекинская капуста</t>
  </si>
  <si>
    <t>Томат</t>
  </si>
  <si>
    <t>Огурец</t>
  </si>
  <si>
    <t>Какие овощи</t>
  </si>
  <si>
    <t>03.04 не пил изотоник</t>
  </si>
  <si>
    <t>600 мг натрия</t>
  </si>
  <si>
    <t>300 мг калия</t>
  </si>
  <si>
    <t>50 мг магния</t>
  </si>
  <si>
    <t>30 мг кальция</t>
  </si>
  <si>
    <t>Хороший изотоник (1 л.)</t>
  </si>
  <si>
    <t>Содержание клетч. в овощах</t>
  </si>
  <si>
    <t>Продукт</t>
  </si>
  <si>
    <t>115-125</t>
  </si>
  <si>
    <t>Кабачковая икра</t>
  </si>
  <si>
    <t>Отруби</t>
  </si>
  <si>
    <t>Томат, пекин. кап., свекла, отруби</t>
  </si>
  <si>
    <t>Б</t>
  </si>
  <si>
    <t>Ж</t>
  </si>
  <si>
    <t>У</t>
  </si>
  <si>
    <t>Ккал</t>
  </si>
  <si>
    <t>40 мин.</t>
  </si>
  <si>
    <t>30 мин.</t>
  </si>
  <si>
    <t>31 мин.</t>
  </si>
  <si>
    <t>Время</t>
  </si>
  <si>
    <t>АД</t>
  </si>
  <si>
    <t>Давл.</t>
  </si>
  <si>
    <t>127/90</t>
  </si>
  <si>
    <t>130/80</t>
  </si>
  <si>
    <t>120/80</t>
  </si>
  <si>
    <t>Пекин. кап, кабач. икра</t>
  </si>
  <si>
    <t>Авокадо</t>
  </si>
  <si>
    <t>Кукуруза</t>
  </si>
  <si>
    <t>Айсберг</t>
  </si>
  <si>
    <t>Том, авок, огур, айс, кукур.</t>
  </si>
  <si>
    <t>120/70</t>
  </si>
  <si>
    <t>кукур, авок, пекин кап</t>
  </si>
  <si>
    <t>кукур, пекин</t>
  </si>
  <si>
    <t>зелень, фасоль</t>
  </si>
  <si>
    <t>салат</t>
  </si>
  <si>
    <t>фасоль</t>
  </si>
  <si>
    <t>Яблоко</t>
  </si>
  <si>
    <t xml:space="preserve">Морковь </t>
  </si>
  <si>
    <t>морковь, яблоко</t>
  </si>
  <si>
    <t>Среднее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</si>
</sst>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7" xfId="0" applyBorder="1"/>
    <xf numFmtId="164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/>
    <xf numFmtId="0" fontId="0" fillId="2" borderId="8" xfId="0" applyFill="1" applyBorder="1"/>
    <xf numFmtId="0" fontId="0" fillId="2" borderId="3" xfId="0" applyFill="1" applyBorder="1"/>
    <xf numFmtId="0" fontId="0" fillId="0" borderId="0" xfId="0" applyBorder="1"/>
    <xf numFmtId="0" fontId="0" fillId="3" borderId="6" xfId="0" applyFill="1" applyBorder="1"/>
    <xf numFmtId="0" fontId="0" fillId="3" borderId="5" xfId="0" applyFill="1" applyBorder="1"/>
    <xf numFmtId="0" fontId="0" fillId="3" borderId="0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13" xfId="0" applyFill="1" applyBorder="1"/>
    <xf numFmtId="0" fontId="0" fillId="4" borderId="2" xfId="0" applyFill="1" applyBorder="1"/>
    <xf numFmtId="0" fontId="0" fillId="4" borderId="8" xfId="0" applyFill="1" applyBorder="1"/>
    <xf numFmtId="0" fontId="0" fillId="4" borderId="3" xfId="0" applyFill="1" applyBorder="1"/>
    <xf numFmtId="0" fontId="0" fillId="4" borderId="1" xfId="0" applyFill="1" applyBorder="1"/>
    <xf numFmtId="0" fontId="0" fillId="2" borderId="2" xfId="0" applyFill="1" applyBorder="1"/>
    <xf numFmtId="0" fontId="0" fillId="5" borderId="4" xfId="0" applyFill="1" applyBorder="1"/>
    <xf numFmtId="0" fontId="0" fillId="5" borderId="5" xfId="0" applyFill="1" applyBorder="1"/>
    <xf numFmtId="0" fontId="0" fillId="0" borderId="0" xfId="0" applyAlignment="1">
      <alignment horizontal="left"/>
    </xf>
    <xf numFmtId="165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/>
    <xf numFmtId="165" fontId="0" fillId="0" borderId="6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4" borderId="8" xfId="0" applyFill="1" applyBorder="1" applyAlignment="1">
      <alignment horizontal="left"/>
    </xf>
    <xf numFmtId="0" fontId="0" fillId="0" borderId="0" xfId="0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19" xfId="0" applyBorder="1" applyAlignment="1">
      <alignment horizontal="center"/>
    </xf>
    <xf numFmtId="164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23" xfId="0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2" fontId="0" fillId="0" borderId="25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65" fontId="0" fillId="0" borderId="25" xfId="0" applyNumberFormat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5" xfId="0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0" fontId="0" fillId="0" borderId="21" xfId="0" applyNumberFormat="1" applyBorder="1" applyAlignment="1">
      <alignment horizontal="center"/>
    </xf>
    <xf numFmtId="165" fontId="0" fillId="2" borderId="2" xfId="0" applyNumberFormat="1" applyFill="1" applyBorder="1" applyAlignment="1">
      <alignment vertical="center"/>
    </xf>
    <xf numFmtId="0" fontId="0" fillId="0" borderId="0" xfId="0" applyAlignment="1"/>
    <xf numFmtId="0" fontId="0" fillId="3" borderId="4" xfId="0" applyFill="1" applyBorder="1" applyAlignment="1"/>
    <xf numFmtId="0" fontId="0" fillId="3" borderId="9" xfId="0" applyFill="1" applyBorder="1" applyAlignment="1"/>
    <xf numFmtId="0" fontId="0" fillId="3" borderId="11" xfId="0" applyFill="1" applyBorder="1" applyAlignment="1"/>
    <xf numFmtId="0" fontId="0" fillId="4" borderId="2" xfId="0" applyFill="1" applyBorder="1" applyAlignment="1"/>
    <xf numFmtId="0" fontId="0" fillId="4" borderId="1" xfId="0" applyFill="1" applyBorder="1" applyAlignment="1"/>
    <xf numFmtId="165" fontId="0" fillId="0" borderId="0" xfId="0" applyNumberFormat="1" applyAlignment="1">
      <alignment vertical="center"/>
    </xf>
    <xf numFmtId="2" fontId="0" fillId="2" borderId="6" xfId="0" applyNumberFormat="1" applyFill="1" applyBorder="1" applyAlignment="1">
      <alignment horizontal="center" vertical="center"/>
    </xf>
    <xf numFmtId="2" fontId="0" fillId="3" borderId="0" xfId="0" applyNumberFormat="1" applyFill="1" applyBorder="1" applyAlignment="1">
      <alignment horizontal="center" vertical="center"/>
    </xf>
    <xf numFmtId="2" fontId="0" fillId="3" borderId="8" xfId="0" applyNumberForma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8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21" xfId="0" applyNumberFormat="1" applyBorder="1" applyAlignment="1">
      <alignment horizontal="center"/>
    </xf>
    <xf numFmtId="165" fontId="0" fillId="0" borderId="28" xfId="0" applyNumberFormat="1" applyBorder="1"/>
    <xf numFmtId="165" fontId="0" fillId="0" borderId="0" xfId="0" applyNumberFormat="1" applyBorder="1"/>
    <xf numFmtId="165" fontId="0" fillId="0" borderId="17" xfId="0" applyNumberFormat="1" applyBorder="1"/>
    <xf numFmtId="165" fontId="0" fillId="0" borderId="8" xfId="0" applyNumberFormat="1" applyBorder="1"/>
    <xf numFmtId="165" fontId="0" fillId="0" borderId="29" xfId="0" applyNumberFormat="1" applyBorder="1"/>
    <xf numFmtId="165" fontId="0" fillId="0" borderId="21" xfId="0" applyNumberFormat="1" applyBorder="1"/>
    <xf numFmtId="165" fontId="0" fillId="0" borderId="27" xfId="0" applyNumberFormat="1" applyBorder="1"/>
    <xf numFmtId="165" fontId="0" fillId="0" borderId="15" xfId="0" applyNumberFormat="1" applyBorder="1"/>
    <xf numFmtId="165" fontId="0" fillId="0" borderId="0" xfId="0" applyNumberFormat="1"/>
    <xf numFmtId="1" fontId="0" fillId="0" borderId="0" xfId="0" applyNumberFormat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19" xfId="0" applyNumberFormat="1" applyBorder="1"/>
    <xf numFmtId="1" fontId="0" fillId="0" borderId="18" xfId="0" applyNumberFormat="1" applyBorder="1"/>
    <xf numFmtId="1" fontId="0" fillId="0" borderId="22" xfId="0" applyNumberFormat="1" applyBorder="1"/>
    <xf numFmtId="1" fontId="0" fillId="0" borderId="16" xfId="0" applyNumberFormat="1" applyBorder="1"/>
    <xf numFmtId="165" fontId="0" fillId="6" borderId="1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3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Ж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Лист1!$A$3:$A$13</c:f>
              <c:numCache>
                <c:formatCode>dd/mm/yy;@</c:formatCode>
                <c:ptCount val="11"/>
                <c:pt idx="0">
                  <c:v>45750</c:v>
                </c:pt>
                <c:pt idx="1">
                  <c:v>45751</c:v>
                </c:pt>
                <c:pt idx="2">
                  <c:v>45752</c:v>
                </c:pt>
                <c:pt idx="3">
                  <c:v>45753</c:v>
                </c:pt>
                <c:pt idx="4">
                  <c:v>45754</c:v>
                </c:pt>
                <c:pt idx="5">
                  <c:v>45755</c:v>
                </c:pt>
                <c:pt idx="6">
                  <c:v>45756</c:v>
                </c:pt>
                <c:pt idx="7">
                  <c:v>45757</c:v>
                </c:pt>
                <c:pt idx="8">
                  <c:v>45758</c:v>
                </c:pt>
                <c:pt idx="9">
                  <c:v>45759</c:v>
                </c:pt>
                <c:pt idx="10">
                  <c:v>45760</c:v>
                </c:pt>
              </c:numCache>
            </c:numRef>
          </c:cat>
          <c:val>
            <c:numRef>
              <c:f>Лист1!$W$3:$W$13</c:f>
              <c:numCache>
                <c:formatCode>0.0</c:formatCode>
                <c:ptCount val="11"/>
                <c:pt idx="0">
                  <c:v>73.77</c:v>
                </c:pt>
                <c:pt idx="1">
                  <c:v>74.22</c:v>
                </c:pt>
                <c:pt idx="2">
                  <c:v>83.83</c:v>
                </c:pt>
                <c:pt idx="3">
                  <c:v>83</c:v>
                </c:pt>
                <c:pt idx="4">
                  <c:v>64.27</c:v>
                </c:pt>
                <c:pt idx="5">
                  <c:v>99.13</c:v>
                </c:pt>
                <c:pt idx="6">
                  <c:v>85.5</c:v>
                </c:pt>
                <c:pt idx="7">
                  <c:v>97.3</c:v>
                </c:pt>
                <c:pt idx="8">
                  <c:v>71.89</c:v>
                </c:pt>
                <c:pt idx="9">
                  <c:v>98.54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51-4980-B073-6962CE6D78B4}"/>
            </c:ext>
          </c:extLst>
        </c:ser>
        <c:ser>
          <c:idx val="1"/>
          <c:order val="1"/>
          <c:tx>
            <c:v>У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Лист1!$A$3:$A$13</c:f>
              <c:numCache>
                <c:formatCode>dd/mm/yy;@</c:formatCode>
                <c:ptCount val="11"/>
                <c:pt idx="0">
                  <c:v>45750</c:v>
                </c:pt>
                <c:pt idx="1">
                  <c:v>45751</c:v>
                </c:pt>
                <c:pt idx="2">
                  <c:v>45752</c:v>
                </c:pt>
                <c:pt idx="3">
                  <c:v>45753</c:v>
                </c:pt>
                <c:pt idx="4">
                  <c:v>45754</c:v>
                </c:pt>
                <c:pt idx="5">
                  <c:v>45755</c:v>
                </c:pt>
                <c:pt idx="6">
                  <c:v>45756</c:v>
                </c:pt>
                <c:pt idx="7">
                  <c:v>45757</c:v>
                </c:pt>
                <c:pt idx="8">
                  <c:v>45758</c:v>
                </c:pt>
                <c:pt idx="9">
                  <c:v>45759</c:v>
                </c:pt>
                <c:pt idx="10">
                  <c:v>45760</c:v>
                </c:pt>
              </c:numCache>
            </c:numRef>
          </c:cat>
          <c:val>
            <c:numRef>
              <c:f>Лист1!$X$3:$X$13</c:f>
              <c:numCache>
                <c:formatCode>0.0</c:formatCode>
                <c:ptCount val="11"/>
                <c:pt idx="0">
                  <c:v>400.52</c:v>
                </c:pt>
                <c:pt idx="1">
                  <c:v>478.66</c:v>
                </c:pt>
                <c:pt idx="2">
                  <c:v>506.54</c:v>
                </c:pt>
                <c:pt idx="3">
                  <c:v>418.41</c:v>
                </c:pt>
                <c:pt idx="4">
                  <c:v>449.58</c:v>
                </c:pt>
                <c:pt idx="5">
                  <c:v>439.95</c:v>
                </c:pt>
                <c:pt idx="6">
                  <c:v>408.4</c:v>
                </c:pt>
                <c:pt idx="7">
                  <c:v>517.29999999999995</c:v>
                </c:pt>
                <c:pt idx="8">
                  <c:v>489.11</c:v>
                </c:pt>
                <c:pt idx="9">
                  <c:v>563.92999999999995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51-4980-B073-6962CE6D78B4}"/>
            </c:ext>
          </c:extLst>
        </c:ser>
        <c:ser>
          <c:idx val="2"/>
          <c:order val="2"/>
          <c:tx>
            <c:v>Б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Лист1!$A$3:$A$13</c:f>
              <c:numCache>
                <c:formatCode>dd/mm/yy;@</c:formatCode>
                <c:ptCount val="11"/>
                <c:pt idx="0">
                  <c:v>45750</c:v>
                </c:pt>
                <c:pt idx="1">
                  <c:v>45751</c:v>
                </c:pt>
                <c:pt idx="2">
                  <c:v>45752</c:v>
                </c:pt>
                <c:pt idx="3">
                  <c:v>45753</c:v>
                </c:pt>
                <c:pt idx="4">
                  <c:v>45754</c:v>
                </c:pt>
                <c:pt idx="5">
                  <c:v>45755</c:v>
                </c:pt>
                <c:pt idx="6">
                  <c:v>45756</c:v>
                </c:pt>
                <c:pt idx="7">
                  <c:v>45757</c:v>
                </c:pt>
                <c:pt idx="8">
                  <c:v>45758</c:v>
                </c:pt>
                <c:pt idx="9">
                  <c:v>45759</c:v>
                </c:pt>
                <c:pt idx="10">
                  <c:v>45760</c:v>
                </c:pt>
              </c:numCache>
            </c:numRef>
          </c:cat>
          <c:val>
            <c:numRef>
              <c:f>Лист1!$Y$3:$Y$13</c:f>
              <c:numCache>
                <c:formatCode>0.0</c:formatCode>
                <c:ptCount val="11"/>
                <c:pt idx="0">
                  <c:v>203.1</c:v>
                </c:pt>
                <c:pt idx="1">
                  <c:v>205.9</c:v>
                </c:pt>
                <c:pt idx="2">
                  <c:v>213.91</c:v>
                </c:pt>
                <c:pt idx="3">
                  <c:v>209.91</c:v>
                </c:pt>
                <c:pt idx="4">
                  <c:v>201.83</c:v>
                </c:pt>
                <c:pt idx="5">
                  <c:v>234.71</c:v>
                </c:pt>
                <c:pt idx="6">
                  <c:v>211.75</c:v>
                </c:pt>
                <c:pt idx="7">
                  <c:v>209.55</c:v>
                </c:pt>
                <c:pt idx="8">
                  <c:v>212.22</c:v>
                </c:pt>
                <c:pt idx="9">
                  <c:v>201.98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51-4980-B073-6962CE6D7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1321674880"/>
        <c:axId val="1321675296"/>
      </c:lineChart>
      <c:lineChart>
        <c:grouping val="standard"/>
        <c:varyColors val="0"/>
        <c:ser>
          <c:idx val="3"/>
          <c:order val="3"/>
          <c:tx>
            <c:v>ккал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Лист1!$A$3:$A$13</c:f>
              <c:numCache>
                <c:formatCode>dd/mm/yy;@</c:formatCode>
                <c:ptCount val="11"/>
                <c:pt idx="0">
                  <c:v>45750</c:v>
                </c:pt>
                <c:pt idx="1">
                  <c:v>45751</c:v>
                </c:pt>
                <c:pt idx="2">
                  <c:v>45752</c:v>
                </c:pt>
                <c:pt idx="3">
                  <c:v>45753</c:v>
                </c:pt>
                <c:pt idx="4">
                  <c:v>45754</c:v>
                </c:pt>
                <c:pt idx="5">
                  <c:v>45755</c:v>
                </c:pt>
                <c:pt idx="6">
                  <c:v>45756</c:v>
                </c:pt>
                <c:pt idx="7">
                  <c:v>45757</c:v>
                </c:pt>
                <c:pt idx="8">
                  <c:v>45758</c:v>
                </c:pt>
                <c:pt idx="9">
                  <c:v>45759</c:v>
                </c:pt>
                <c:pt idx="10">
                  <c:v>45760</c:v>
                </c:pt>
              </c:numCache>
            </c:numRef>
          </c:cat>
          <c:val>
            <c:numRef>
              <c:f>Лист1!$Z$3:$Z$13</c:f>
              <c:numCache>
                <c:formatCode>0</c:formatCode>
                <c:ptCount val="11"/>
                <c:pt idx="0">
                  <c:v>3117</c:v>
                </c:pt>
                <c:pt idx="1">
                  <c:v>3388</c:v>
                </c:pt>
                <c:pt idx="2">
                  <c:v>3741</c:v>
                </c:pt>
                <c:pt idx="3">
                  <c:v>3264</c:v>
                </c:pt>
                <c:pt idx="4">
                  <c:v>3628</c:v>
                </c:pt>
                <c:pt idx="5">
                  <c:v>3798</c:v>
                </c:pt>
                <c:pt idx="6">
                  <c:v>3293</c:v>
                </c:pt>
                <c:pt idx="7">
                  <c:v>3774</c:v>
                </c:pt>
                <c:pt idx="8">
                  <c:v>3466</c:v>
                </c:pt>
                <c:pt idx="9">
                  <c:v>4184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51-4980-B073-6962CE6D7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1321774544"/>
        <c:axId val="1334573392"/>
      </c:lineChart>
      <c:dateAx>
        <c:axId val="1321674880"/>
        <c:scaling>
          <c:orientation val="minMax"/>
        </c:scaling>
        <c:delete val="0"/>
        <c:axPos val="b"/>
        <c:numFmt formatCode="dd/mm/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1675296"/>
        <c:crosses val="autoZero"/>
        <c:auto val="0"/>
        <c:lblOffset val="100"/>
        <c:baseTimeUnit val="days"/>
        <c:majorUnit val="2"/>
        <c:majorTimeUnit val="days"/>
        <c:minorUnit val="1"/>
        <c:minorTimeUnit val="days"/>
      </c:dateAx>
      <c:valAx>
        <c:axId val="132167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1674880"/>
        <c:crosses val="autoZero"/>
        <c:crossBetween val="between"/>
      </c:valAx>
      <c:valAx>
        <c:axId val="133457339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1774544"/>
        <c:crosses val="max"/>
        <c:crossBetween val="between"/>
      </c:valAx>
      <c:dateAx>
        <c:axId val="1321774544"/>
        <c:scaling>
          <c:orientation val="minMax"/>
        </c:scaling>
        <c:delete val="1"/>
        <c:axPos val="b"/>
        <c:numFmt formatCode="dd/mm/yy;@" sourceLinked="1"/>
        <c:majorTickMark val="out"/>
        <c:minorTickMark val="none"/>
        <c:tickLblPos val="nextTo"/>
        <c:crossAx val="1334573392"/>
        <c:auto val="1"/>
        <c:lblOffset val="100"/>
        <c:baseTimeUnit val="days"/>
      </c:date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вес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Лист1!$A$3:$A$13</c:f>
              <c:numCache>
                <c:formatCode>dd/mm/yy;@</c:formatCode>
                <c:ptCount val="11"/>
                <c:pt idx="0">
                  <c:v>45750</c:v>
                </c:pt>
                <c:pt idx="1">
                  <c:v>45751</c:v>
                </c:pt>
                <c:pt idx="2">
                  <c:v>45752</c:v>
                </c:pt>
                <c:pt idx="3">
                  <c:v>45753</c:v>
                </c:pt>
                <c:pt idx="4">
                  <c:v>45754</c:v>
                </c:pt>
                <c:pt idx="5">
                  <c:v>45755</c:v>
                </c:pt>
                <c:pt idx="6">
                  <c:v>45756</c:v>
                </c:pt>
                <c:pt idx="7">
                  <c:v>45757</c:v>
                </c:pt>
                <c:pt idx="8">
                  <c:v>45758</c:v>
                </c:pt>
                <c:pt idx="9">
                  <c:v>45759</c:v>
                </c:pt>
                <c:pt idx="10">
                  <c:v>45760</c:v>
                </c:pt>
              </c:numCache>
            </c:numRef>
          </c:cat>
          <c:val>
            <c:numRef>
              <c:f>Лист1!$B$3:$B$13</c:f>
              <c:numCache>
                <c:formatCode>0.00</c:formatCode>
                <c:ptCount val="11"/>
                <c:pt idx="0">
                  <c:v>106.3</c:v>
                </c:pt>
                <c:pt idx="2">
                  <c:v>105.5</c:v>
                </c:pt>
                <c:pt idx="5">
                  <c:v>105.5</c:v>
                </c:pt>
                <c:pt idx="9">
                  <c:v>104.95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33-4A4C-A449-54EAD8FA4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smooth val="0"/>
        <c:axId val="1359333920"/>
        <c:axId val="1359334336"/>
      </c:lineChart>
      <c:dateAx>
        <c:axId val="1359333920"/>
        <c:scaling>
          <c:orientation val="minMax"/>
        </c:scaling>
        <c:delete val="0"/>
        <c:axPos val="b"/>
        <c:numFmt formatCode="dd/mm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9334336"/>
        <c:crosses val="autoZero"/>
        <c:auto val="1"/>
        <c:lblOffset val="100"/>
        <c:baseTimeUnit val="days"/>
      </c:dateAx>
      <c:valAx>
        <c:axId val="135933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933392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1</xdr:row>
      <xdr:rowOff>14286</xdr:rowOff>
    </xdr:from>
    <xdr:to>
      <xdr:col>34</xdr:col>
      <xdr:colOff>561976</xdr:colOff>
      <xdr:row>21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AA9F37-1CC0-4E88-B6FB-FE3A650F27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42861</xdr:colOff>
      <xdr:row>22</xdr:row>
      <xdr:rowOff>33337</xdr:rowOff>
    </xdr:from>
    <xdr:to>
      <xdr:col>34</xdr:col>
      <xdr:colOff>561974</xdr:colOff>
      <xdr:row>33</xdr:row>
      <xdr:rowOff>133350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BE04BE1-D315-4167-BC4E-5DFFD93E41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"/>
  <sheetViews>
    <sheetView tabSelected="1" workbookViewId="0">
      <selection activeCell="AC44" sqref="AC44"/>
    </sheetView>
  </sheetViews>
  <sheetFormatPr defaultRowHeight="15" x14ac:dyDescent="0.25"/>
  <cols>
    <col min="4" max="4" width="9.5703125" customWidth="1"/>
    <col min="11" max="11" width="9.140625" style="28"/>
    <col min="14" max="17" width="9.140625" style="30"/>
    <col min="19" max="19" width="9.140625" style="89"/>
    <col min="20" max="22" width="9.140625" style="30"/>
  </cols>
  <sheetData>
    <row r="1" spans="1:26" x14ac:dyDescent="0.25">
      <c r="A1" s="26" t="s">
        <v>0</v>
      </c>
      <c r="B1" s="27"/>
      <c r="F1" s="25" t="s">
        <v>6</v>
      </c>
      <c r="G1" s="13"/>
      <c r="I1" s="21" t="s">
        <v>4</v>
      </c>
      <c r="J1" s="22"/>
      <c r="K1" s="46"/>
      <c r="L1" s="23"/>
      <c r="N1" s="41" t="s">
        <v>36</v>
      </c>
      <c r="O1" s="42"/>
      <c r="P1" s="42"/>
      <c r="Q1" s="43"/>
      <c r="S1" s="88" t="s">
        <v>16</v>
      </c>
      <c r="T1" s="12"/>
      <c r="U1" s="13"/>
      <c r="V1"/>
      <c r="W1" s="41" t="s">
        <v>29</v>
      </c>
      <c r="X1" s="42" t="s">
        <v>30</v>
      </c>
      <c r="Y1" s="42" t="s">
        <v>28</v>
      </c>
      <c r="Z1" s="43" t="s">
        <v>31</v>
      </c>
    </row>
    <row r="2" spans="1:26" x14ac:dyDescent="0.25">
      <c r="A2" s="6" t="s">
        <v>1</v>
      </c>
      <c r="B2" s="6" t="s">
        <v>2</v>
      </c>
      <c r="C2" s="6" t="s">
        <v>3</v>
      </c>
      <c r="D2" s="6" t="s">
        <v>7</v>
      </c>
      <c r="F2" s="5" t="s">
        <v>9</v>
      </c>
      <c r="G2" s="5" t="s">
        <v>10</v>
      </c>
      <c r="I2" s="5" t="s">
        <v>11</v>
      </c>
      <c r="J2" s="5" t="s">
        <v>5</v>
      </c>
      <c r="K2" s="28" t="s">
        <v>15</v>
      </c>
      <c r="N2" s="39" t="s">
        <v>37</v>
      </c>
      <c r="O2" s="39" t="s">
        <v>35</v>
      </c>
      <c r="P2" s="39" t="s">
        <v>37</v>
      </c>
      <c r="Q2" s="39" t="s">
        <v>35</v>
      </c>
      <c r="T2"/>
      <c r="U2"/>
      <c r="V2" s="131" t="s">
        <v>55</v>
      </c>
      <c r="W2" s="129">
        <f>AVERAGE(W3:W52)</f>
        <v>83.144999999999996</v>
      </c>
      <c r="X2" s="129">
        <f t="shared" ref="X2:Z2" si="0">AVERAGE(X3:X52)</f>
        <v>467.23999999999995</v>
      </c>
      <c r="Y2" s="129">
        <f t="shared" si="0"/>
        <v>210.48599999999996</v>
      </c>
      <c r="Z2" s="130">
        <f t="shared" si="0"/>
        <v>3565.3</v>
      </c>
    </row>
    <row r="3" spans="1:26" x14ac:dyDescent="0.25">
      <c r="A3" s="7">
        <v>45750</v>
      </c>
      <c r="B3" s="31">
        <v>106.3</v>
      </c>
      <c r="C3" s="31">
        <v>105.85</v>
      </c>
      <c r="D3" s="96">
        <f>C3-B3</f>
        <v>-0.45000000000000284</v>
      </c>
      <c r="E3" s="32"/>
      <c r="F3" s="32" t="s">
        <v>8</v>
      </c>
      <c r="G3" s="32" t="s">
        <v>24</v>
      </c>
      <c r="H3" s="32"/>
      <c r="I3" s="32">
        <v>477</v>
      </c>
      <c r="J3" s="32">
        <v>9.6999999999999993</v>
      </c>
      <c r="K3" s="33" t="s">
        <v>27</v>
      </c>
      <c r="L3" s="34"/>
      <c r="M3" s="34"/>
      <c r="S3" s="90" t="s">
        <v>21</v>
      </c>
      <c r="T3" s="15"/>
      <c r="U3" s="16"/>
      <c r="V3"/>
      <c r="W3" s="99">
        <v>73.77</v>
      </c>
      <c r="X3" s="99">
        <v>400.52</v>
      </c>
      <c r="Y3" s="99">
        <v>203.1</v>
      </c>
      <c r="Z3" s="118">
        <v>3117</v>
      </c>
    </row>
    <row r="4" spans="1:26" x14ac:dyDescent="0.25">
      <c r="A4" s="7">
        <v>45751</v>
      </c>
      <c r="B4" s="8"/>
      <c r="C4" s="8"/>
      <c r="D4" s="8"/>
      <c r="E4" s="9"/>
      <c r="F4" s="9"/>
      <c r="G4" s="9"/>
      <c r="H4" s="9"/>
      <c r="I4" s="37">
        <v>232</v>
      </c>
      <c r="J4" s="37">
        <v>5.2</v>
      </c>
      <c r="K4" s="10" t="s">
        <v>41</v>
      </c>
      <c r="L4" s="11"/>
      <c r="M4" s="11"/>
      <c r="N4" s="38"/>
      <c r="O4" s="38"/>
      <c r="P4" s="38"/>
      <c r="Q4" s="38"/>
      <c r="S4" s="91" t="s">
        <v>17</v>
      </c>
      <c r="T4" s="17"/>
      <c r="U4" s="18"/>
      <c r="V4"/>
      <c r="W4" s="100">
        <v>74.22</v>
      </c>
      <c r="X4" s="100">
        <v>478.66</v>
      </c>
      <c r="Y4" s="100">
        <v>205.9</v>
      </c>
      <c r="Z4" s="119">
        <v>3388</v>
      </c>
    </row>
    <row r="5" spans="1:26" x14ac:dyDescent="0.25">
      <c r="A5" s="7">
        <v>45752</v>
      </c>
      <c r="B5" s="36">
        <v>105.5</v>
      </c>
      <c r="C5" s="36">
        <v>106.25</v>
      </c>
      <c r="D5" s="97">
        <f>C5-B5</f>
        <v>0.75</v>
      </c>
      <c r="E5" s="3"/>
      <c r="F5" s="3" t="s">
        <v>32</v>
      </c>
      <c r="G5" s="32" t="s">
        <v>24</v>
      </c>
      <c r="H5" s="3"/>
      <c r="I5" s="4">
        <v>367</v>
      </c>
      <c r="J5" s="4">
        <v>5.45</v>
      </c>
      <c r="K5" s="47" t="s">
        <v>45</v>
      </c>
      <c r="N5" s="30" t="s">
        <v>38</v>
      </c>
      <c r="O5" s="40">
        <v>0.91111111111111109</v>
      </c>
      <c r="S5" s="91" t="s">
        <v>18</v>
      </c>
      <c r="T5" s="17"/>
      <c r="U5" s="18"/>
      <c r="V5"/>
      <c r="W5" s="99">
        <v>83.83</v>
      </c>
      <c r="X5" s="99">
        <v>506.54</v>
      </c>
      <c r="Y5" s="99">
        <v>213.91</v>
      </c>
      <c r="Z5" s="118">
        <v>3741</v>
      </c>
    </row>
    <row r="6" spans="1:26" ht="15.75" thickBot="1" x14ac:dyDescent="0.3">
      <c r="A6" s="48">
        <v>45753</v>
      </c>
      <c r="B6" s="31"/>
      <c r="C6" s="31"/>
      <c r="D6" s="31"/>
      <c r="E6" s="32"/>
      <c r="F6" s="32"/>
      <c r="G6" s="32"/>
      <c r="H6" s="32"/>
      <c r="I6" s="35">
        <v>87</v>
      </c>
      <c r="J6" s="35">
        <v>1.879</v>
      </c>
      <c r="K6" s="33" t="s">
        <v>48</v>
      </c>
      <c r="L6" s="34"/>
      <c r="M6" s="34"/>
      <c r="N6" s="44" t="s">
        <v>39</v>
      </c>
      <c r="O6" s="45">
        <v>0.62916666666666665</v>
      </c>
      <c r="P6" s="44" t="s">
        <v>40</v>
      </c>
      <c r="Q6" s="45">
        <v>0.92361111111111116</v>
      </c>
      <c r="S6" s="91" t="s">
        <v>19</v>
      </c>
      <c r="T6" s="17"/>
      <c r="U6" s="18"/>
      <c r="V6"/>
      <c r="W6" s="101">
        <v>83</v>
      </c>
      <c r="X6" s="101">
        <v>418.41</v>
      </c>
      <c r="Y6" s="101">
        <v>209.91</v>
      </c>
      <c r="Z6" s="120">
        <v>3264</v>
      </c>
    </row>
    <row r="7" spans="1:26" x14ac:dyDescent="0.25">
      <c r="A7" s="50">
        <v>45754</v>
      </c>
      <c r="B7" s="51"/>
      <c r="C7" s="51"/>
      <c r="D7" s="51"/>
      <c r="E7" s="52"/>
      <c r="F7" s="52"/>
      <c r="G7" s="52"/>
      <c r="H7" s="52"/>
      <c r="I7" s="53">
        <v>170</v>
      </c>
      <c r="J7" s="53">
        <v>5.44</v>
      </c>
      <c r="K7" s="54" t="s">
        <v>47</v>
      </c>
      <c r="L7" s="55"/>
      <c r="M7" s="55"/>
      <c r="N7" s="56"/>
      <c r="O7" s="56"/>
      <c r="P7" s="56"/>
      <c r="Q7" s="57"/>
      <c r="S7" s="92" t="s">
        <v>20</v>
      </c>
      <c r="T7" s="19"/>
      <c r="U7" s="20"/>
      <c r="V7"/>
      <c r="W7" s="102">
        <v>64.27</v>
      </c>
      <c r="X7" s="103">
        <v>449.58</v>
      </c>
      <c r="Y7" s="103">
        <v>201.83</v>
      </c>
      <c r="Z7" s="121">
        <v>3628</v>
      </c>
    </row>
    <row r="8" spans="1:26" x14ac:dyDescent="0.25">
      <c r="A8" s="58">
        <v>45755</v>
      </c>
      <c r="B8" s="8">
        <v>105.5</v>
      </c>
      <c r="C8" s="8">
        <v>105.5</v>
      </c>
      <c r="D8" s="98">
        <f>C8-B8</f>
        <v>0</v>
      </c>
      <c r="E8" s="9"/>
      <c r="F8" s="9" t="s">
        <v>33</v>
      </c>
      <c r="G8" s="9" t="s">
        <v>24</v>
      </c>
      <c r="H8" s="9"/>
      <c r="I8" s="37">
        <v>0</v>
      </c>
      <c r="J8" s="37"/>
      <c r="K8" s="10"/>
      <c r="L8" s="11"/>
      <c r="M8" s="11"/>
      <c r="N8" s="38"/>
      <c r="O8" s="38"/>
      <c r="P8" s="38"/>
      <c r="Q8" s="59"/>
      <c r="T8"/>
      <c r="U8"/>
      <c r="V8"/>
      <c r="W8" s="104">
        <v>99.13</v>
      </c>
      <c r="X8" s="100">
        <v>439.95</v>
      </c>
      <c r="Y8" s="100">
        <v>234.71</v>
      </c>
      <c r="Z8" s="122">
        <v>3798</v>
      </c>
    </row>
    <row r="9" spans="1:26" x14ac:dyDescent="0.25">
      <c r="A9" s="58">
        <v>45756</v>
      </c>
      <c r="B9" s="36"/>
      <c r="C9" s="36"/>
      <c r="D9" s="36"/>
      <c r="E9" s="60"/>
      <c r="F9" s="60"/>
      <c r="G9" s="60"/>
      <c r="H9" s="60"/>
      <c r="I9" s="61">
        <v>250</v>
      </c>
      <c r="J9" s="61">
        <v>3.2</v>
      </c>
      <c r="K9" s="62" t="s">
        <v>49</v>
      </c>
      <c r="L9" s="14"/>
      <c r="M9" s="14"/>
      <c r="N9" s="63"/>
      <c r="O9" s="63"/>
      <c r="P9" s="63"/>
      <c r="Q9" s="64"/>
      <c r="S9" s="93" t="s">
        <v>22</v>
      </c>
      <c r="T9" s="22"/>
      <c r="U9" s="23"/>
      <c r="V9"/>
      <c r="W9" s="105">
        <v>85.5</v>
      </c>
      <c r="X9" s="106">
        <v>408.4</v>
      </c>
      <c r="Y9" s="106">
        <v>211.75</v>
      </c>
      <c r="Z9" s="123">
        <v>3293</v>
      </c>
    </row>
    <row r="10" spans="1:26" x14ac:dyDescent="0.25">
      <c r="A10" s="58">
        <v>45757</v>
      </c>
      <c r="B10" s="8"/>
      <c r="C10" s="8"/>
      <c r="D10" s="8"/>
      <c r="E10" s="9"/>
      <c r="F10" s="9" t="s">
        <v>34</v>
      </c>
      <c r="G10" s="9" t="s">
        <v>24</v>
      </c>
      <c r="H10" s="9"/>
      <c r="I10" s="37">
        <v>220</v>
      </c>
      <c r="J10" s="37">
        <v>4.4000000000000004</v>
      </c>
      <c r="K10" s="10" t="s">
        <v>50</v>
      </c>
      <c r="L10" s="11"/>
      <c r="M10" s="11"/>
      <c r="N10" s="38"/>
      <c r="O10" s="38"/>
      <c r="P10" s="38"/>
      <c r="Q10" s="59"/>
      <c r="S10" s="94" t="s">
        <v>23</v>
      </c>
      <c r="T10" s="14"/>
      <c r="U10" s="24" t="s">
        <v>9</v>
      </c>
      <c r="V10"/>
      <c r="W10" s="104">
        <v>97.3</v>
      </c>
      <c r="X10" s="100">
        <v>517.29999999999995</v>
      </c>
      <c r="Y10" s="100">
        <v>209.55</v>
      </c>
      <c r="Z10" s="122">
        <v>3774</v>
      </c>
    </row>
    <row r="11" spans="1:26" x14ac:dyDescent="0.25">
      <c r="A11" s="58">
        <v>45758</v>
      </c>
      <c r="B11" s="36"/>
      <c r="C11" s="36"/>
      <c r="D11" s="36"/>
      <c r="E11" s="60"/>
      <c r="F11" s="60"/>
      <c r="G11" s="60"/>
      <c r="H11" s="60"/>
      <c r="I11" s="61">
        <v>100</v>
      </c>
      <c r="J11" s="61">
        <v>1</v>
      </c>
      <c r="K11" s="62" t="s">
        <v>51</v>
      </c>
      <c r="L11" s="14"/>
      <c r="M11" s="14"/>
      <c r="N11" s="63"/>
      <c r="O11" s="63"/>
      <c r="P11" s="63"/>
      <c r="Q11" s="64"/>
      <c r="S11" s="95" t="s">
        <v>26</v>
      </c>
      <c r="T11"/>
      <c r="U11" s="29">
        <v>22</v>
      </c>
      <c r="V11"/>
      <c r="W11" s="105">
        <v>71.89</v>
      </c>
      <c r="X11" s="106">
        <v>489.11</v>
      </c>
      <c r="Y11" s="106">
        <v>212.22</v>
      </c>
      <c r="Z11" s="123">
        <v>3466</v>
      </c>
    </row>
    <row r="12" spans="1:26" x14ac:dyDescent="0.25">
      <c r="A12" s="58">
        <v>45759</v>
      </c>
      <c r="B12" s="8">
        <v>104.95</v>
      </c>
      <c r="C12" s="8">
        <v>105.55</v>
      </c>
      <c r="D12" s="98">
        <f>C12-B12</f>
        <v>0.59999999999999432</v>
      </c>
      <c r="E12" s="9"/>
      <c r="F12" s="9" t="s">
        <v>33</v>
      </c>
      <c r="G12" s="9" t="s">
        <v>24</v>
      </c>
      <c r="H12" s="9"/>
      <c r="I12" s="37">
        <v>100</v>
      </c>
      <c r="J12" s="37">
        <v>2.64</v>
      </c>
      <c r="K12" s="10" t="s">
        <v>54</v>
      </c>
      <c r="L12" s="11"/>
      <c r="M12" s="11"/>
      <c r="N12" s="38"/>
      <c r="O12" s="38"/>
      <c r="P12" s="38"/>
      <c r="Q12" s="59"/>
      <c r="S12" s="89" t="s">
        <v>42</v>
      </c>
      <c r="U12" s="30">
        <v>6.7</v>
      </c>
      <c r="V12"/>
      <c r="W12" s="104">
        <v>98.54</v>
      </c>
      <c r="X12" s="100">
        <v>563.92999999999995</v>
      </c>
      <c r="Y12" s="100">
        <v>201.98</v>
      </c>
      <c r="Z12" s="122">
        <v>4184</v>
      </c>
    </row>
    <row r="13" spans="1:26" ht="15.75" thickBot="1" x14ac:dyDescent="0.3">
      <c r="A13" s="65">
        <v>45760</v>
      </c>
      <c r="B13" s="66"/>
      <c r="C13" s="66"/>
      <c r="D13" s="66"/>
      <c r="E13" s="67"/>
      <c r="F13" s="67"/>
      <c r="G13" s="67"/>
      <c r="H13" s="67"/>
      <c r="I13" s="68"/>
      <c r="J13" s="68"/>
      <c r="K13" s="69"/>
      <c r="L13" s="70"/>
      <c r="M13" s="70"/>
      <c r="N13" s="71" t="s">
        <v>46</v>
      </c>
      <c r="O13" s="87">
        <v>0.46805555555555556</v>
      </c>
      <c r="P13" s="71"/>
      <c r="Q13" s="72"/>
      <c r="S13" s="89" t="s">
        <v>53</v>
      </c>
      <c r="U13" s="30">
        <v>2.8</v>
      </c>
      <c r="V13"/>
      <c r="W13" s="107"/>
      <c r="X13" s="108"/>
      <c r="Y13" s="108"/>
      <c r="Z13" s="124"/>
    </row>
    <row r="14" spans="1:26" x14ac:dyDescent="0.25">
      <c r="A14" s="50">
        <v>45761</v>
      </c>
      <c r="B14" s="73"/>
      <c r="C14" s="73"/>
      <c r="D14" s="73"/>
      <c r="E14" s="74"/>
      <c r="F14" s="74"/>
      <c r="G14" s="74"/>
      <c r="H14" s="74"/>
      <c r="I14" s="75"/>
      <c r="J14" s="75"/>
      <c r="K14" s="76"/>
      <c r="L14" s="77"/>
      <c r="M14" s="77"/>
      <c r="N14" s="78"/>
      <c r="O14" s="78"/>
      <c r="P14" s="78"/>
      <c r="Q14" s="79"/>
      <c r="S14" s="89" t="s">
        <v>43</v>
      </c>
      <c r="U14" s="30">
        <v>2.5</v>
      </c>
      <c r="V14"/>
      <c r="W14" s="102"/>
      <c r="X14" s="103"/>
      <c r="Y14" s="103"/>
      <c r="Z14" s="121"/>
    </row>
    <row r="15" spans="1:26" x14ac:dyDescent="0.25">
      <c r="A15" s="58">
        <v>45762</v>
      </c>
      <c r="B15" s="36"/>
      <c r="C15" s="36"/>
      <c r="D15" s="36"/>
      <c r="E15" s="60"/>
      <c r="F15" s="60"/>
      <c r="G15" s="60"/>
      <c r="H15" s="60"/>
      <c r="I15" s="61"/>
      <c r="J15" s="61"/>
      <c r="K15" s="62"/>
      <c r="L15" s="14"/>
      <c r="M15" s="14"/>
      <c r="N15" s="63"/>
      <c r="O15" s="63"/>
      <c r="P15" s="63"/>
      <c r="Q15" s="64"/>
      <c r="S15" s="89" t="s">
        <v>52</v>
      </c>
      <c r="U15" s="30">
        <v>2.4</v>
      </c>
      <c r="V15"/>
      <c r="W15" s="104"/>
      <c r="X15" s="100"/>
      <c r="Y15" s="100"/>
      <c r="Z15" s="122"/>
    </row>
    <row r="16" spans="1:26" x14ac:dyDescent="0.25">
      <c r="A16" s="58">
        <v>45763</v>
      </c>
      <c r="B16" s="8"/>
      <c r="C16" s="8"/>
      <c r="D16" s="8"/>
      <c r="E16" s="9"/>
      <c r="F16" s="9"/>
      <c r="G16" s="9"/>
      <c r="H16" s="9"/>
      <c r="I16" s="37"/>
      <c r="J16" s="37"/>
      <c r="K16" s="10"/>
      <c r="L16" s="11"/>
      <c r="M16" s="11"/>
      <c r="N16" s="38"/>
      <c r="O16" s="37"/>
      <c r="P16" s="38"/>
      <c r="Q16" s="59"/>
      <c r="S16" s="95" t="s">
        <v>25</v>
      </c>
      <c r="T16"/>
      <c r="U16" s="29">
        <v>2</v>
      </c>
      <c r="W16" s="109"/>
      <c r="X16" s="110"/>
      <c r="Y16" s="110"/>
      <c r="Z16" s="125"/>
    </row>
    <row r="17" spans="1:26" x14ac:dyDescent="0.25">
      <c r="A17" s="58">
        <v>45764</v>
      </c>
      <c r="B17" s="36"/>
      <c r="C17" s="36"/>
      <c r="D17" s="36"/>
      <c r="E17" s="60"/>
      <c r="F17" s="60"/>
      <c r="G17" s="60"/>
      <c r="H17" s="60"/>
      <c r="I17" s="61"/>
      <c r="J17" s="61"/>
      <c r="K17" s="62"/>
      <c r="L17" s="14"/>
      <c r="M17" s="14"/>
      <c r="N17" s="63"/>
      <c r="O17" s="61"/>
      <c r="P17" s="63"/>
      <c r="Q17" s="64"/>
      <c r="S17" s="89" t="s">
        <v>12</v>
      </c>
      <c r="T17" s="14"/>
      <c r="U17" s="4">
        <v>1.7</v>
      </c>
      <c r="W17" s="111"/>
      <c r="X17" s="112"/>
      <c r="Y17" s="112"/>
      <c r="Z17" s="126"/>
    </row>
    <row r="18" spans="1:26" x14ac:dyDescent="0.25">
      <c r="A18" s="58">
        <v>45765</v>
      </c>
      <c r="B18" s="8"/>
      <c r="C18" s="8"/>
      <c r="D18" s="8"/>
      <c r="E18" s="9"/>
      <c r="F18" s="9"/>
      <c r="G18" s="9"/>
      <c r="H18" s="9"/>
      <c r="I18" s="37"/>
      <c r="J18" s="37"/>
      <c r="K18" s="10"/>
      <c r="L18" s="11"/>
      <c r="M18" s="11"/>
      <c r="N18" s="38"/>
      <c r="O18" s="37"/>
      <c r="P18" s="38"/>
      <c r="Q18" s="59"/>
      <c r="S18" s="89" t="s">
        <v>44</v>
      </c>
      <c r="U18" s="30">
        <v>1.2</v>
      </c>
      <c r="W18" s="109"/>
      <c r="X18" s="110"/>
      <c r="Y18" s="110"/>
      <c r="Z18" s="125"/>
    </row>
    <row r="19" spans="1:26" x14ac:dyDescent="0.25">
      <c r="A19" s="58">
        <v>45766</v>
      </c>
      <c r="B19" s="36"/>
      <c r="C19" s="36"/>
      <c r="D19" s="36"/>
      <c r="E19" s="60"/>
      <c r="F19" s="60"/>
      <c r="G19" s="60"/>
      <c r="H19" s="60"/>
      <c r="I19" s="61"/>
      <c r="J19" s="61"/>
      <c r="K19" s="62"/>
      <c r="L19" s="14"/>
      <c r="M19" s="14"/>
      <c r="N19" s="63"/>
      <c r="O19" s="61"/>
      <c r="P19" s="63"/>
      <c r="Q19" s="64"/>
      <c r="S19" s="89" t="s">
        <v>13</v>
      </c>
      <c r="T19"/>
      <c r="U19" s="4">
        <v>1</v>
      </c>
      <c r="W19" s="111"/>
      <c r="X19" s="112"/>
      <c r="Y19" s="112"/>
      <c r="Z19" s="126"/>
    </row>
    <row r="20" spans="1:26" ht="15.75" thickBot="1" x14ac:dyDescent="0.3">
      <c r="A20" s="65">
        <v>45767</v>
      </c>
      <c r="B20" s="80"/>
      <c r="C20" s="80"/>
      <c r="D20" s="80"/>
      <c r="E20" s="81"/>
      <c r="F20" s="81"/>
      <c r="G20" s="81"/>
      <c r="H20" s="81"/>
      <c r="I20" s="82"/>
      <c r="J20" s="82"/>
      <c r="K20" s="83"/>
      <c r="L20" s="84"/>
      <c r="M20" s="84"/>
      <c r="N20" s="85"/>
      <c r="O20" s="82"/>
      <c r="P20" s="85"/>
      <c r="Q20" s="86"/>
      <c r="S20" s="89" t="s">
        <v>14</v>
      </c>
      <c r="T20"/>
      <c r="U20" s="4">
        <v>0.7</v>
      </c>
      <c r="W20" s="113"/>
      <c r="X20" s="114"/>
      <c r="Y20" s="114"/>
      <c r="Z20" s="127"/>
    </row>
    <row r="21" spans="1:26" x14ac:dyDescent="0.25">
      <c r="A21" s="50">
        <v>45768</v>
      </c>
      <c r="B21" s="51"/>
      <c r="C21" s="51"/>
      <c r="D21" s="51"/>
      <c r="E21" s="52"/>
      <c r="F21" s="52"/>
      <c r="G21" s="52"/>
      <c r="H21" s="52"/>
      <c r="I21" s="53"/>
      <c r="J21" s="53"/>
      <c r="K21" s="54"/>
      <c r="L21" s="55"/>
      <c r="M21" s="55"/>
      <c r="N21" s="56"/>
      <c r="O21" s="53"/>
      <c r="P21" s="56"/>
      <c r="Q21" s="57"/>
      <c r="W21" s="115"/>
      <c r="X21" s="116"/>
      <c r="Y21" s="116"/>
      <c r="Z21" s="128"/>
    </row>
    <row r="22" spans="1:26" x14ac:dyDescent="0.25">
      <c r="A22" s="58">
        <v>45769</v>
      </c>
      <c r="B22" s="8"/>
      <c r="C22" s="8"/>
      <c r="D22" s="8"/>
      <c r="E22" s="9"/>
      <c r="F22" s="9"/>
      <c r="G22" s="9"/>
      <c r="H22" s="9"/>
      <c r="I22" s="37"/>
      <c r="J22" s="37"/>
      <c r="K22" s="10"/>
      <c r="L22" s="11"/>
      <c r="M22" s="11"/>
      <c r="N22" s="38"/>
      <c r="O22" s="37"/>
      <c r="P22" s="38"/>
      <c r="Q22" s="59"/>
      <c r="W22" s="111"/>
      <c r="X22" s="112"/>
      <c r="Y22" s="112"/>
      <c r="Z22" s="126"/>
    </row>
    <row r="23" spans="1:26" x14ac:dyDescent="0.25">
      <c r="A23" s="58">
        <v>45770</v>
      </c>
      <c r="B23" s="36"/>
      <c r="C23" s="36"/>
      <c r="D23" s="36"/>
      <c r="E23" s="60"/>
      <c r="F23" s="60"/>
      <c r="G23" s="60"/>
      <c r="H23" s="60"/>
      <c r="I23" s="61"/>
      <c r="J23" s="61"/>
      <c r="K23" s="62"/>
      <c r="L23" s="14"/>
      <c r="M23" s="14"/>
      <c r="N23" s="63"/>
      <c r="O23" s="61"/>
      <c r="P23" s="63"/>
      <c r="Q23" s="64"/>
      <c r="W23" s="109"/>
      <c r="X23" s="110"/>
      <c r="Y23" s="110"/>
      <c r="Z23" s="125"/>
    </row>
    <row r="24" spans="1:26" x14ac:dyDescent="0.25">
      <c r="A24" s="58">
        <v>45771</v>
      </c>
      <c r="B24" s="8"/>
      <c r="C24" s="8"/>
      <c r="D24" s="8"/>
      <c r="E24" s="9"/>
      <c r="F24" s="9"/>
      <c r="G24" s="9"/>
      <c r="H24" s="9"/>
      <c r="I24" s="37"/>
      <c r="J24" s="37"/>
      <c r="K24" s="10"/>
      <c r="L24" s="11"/>
      <c r="M24" s="11"/>
      <c r="N24" s="38"/>
      <c r="O24" s="37"/>
      <c r="P24" s="38"/>
      <c r="Q24" s="59"/>
      <c r="W24" s="111"/>
      <c r="X24" s="112"/>
      <c r="Y24" s="112"/>
      <c r="Z24" s="126"/>
    </row>
    <row r="25" spans="1:26" x14ac:dyDescent="0.25">
      <c r="A25" s="58">
        <v>45772</v>
      </c>
      <c r="B25" s="36"/>
      <c r="C25" s="36"/>
      <c r="D25" s="36"/>
      <c r="E25" s="60"/>
      <c r="F25" s="60"/>
      <c r="G25" s="60"/>
      <c r="H25" s="60"/>
      <c r="I25" s="61"/>
      <c r="J25" s="61"/>
      <c r="K25" s="62"/>
      <c r="L25" s="14"/>
      <c r="M25" s="14"/>
      <c r="N25" s="63"/>
      <c r="O25" s="61"/>
      <c r="P25" s="63"/>
      <c r="Q25" s="64"/>
      <c r="W25" s="109"/>
      <c r="X25" s="110"/>
      <c r="Y25" s="110"/>
      <c r="Z25" s="125"/>
    </row>
    <row r="26" spans="1:26" x14ac:dyDescent="0.25">
      <c r="A26" s="58">
        <v>45773</v>
      </c>
      <c r="B26" s="8"/>
      <c r="C26" s="8"/>
      <c r="D26" s="8"/>
      <c r="E26" s="9"/>
      <c r="F26" s="9"/>
      <c r="G26" s="9"/>
      <c r="H26" s="9"/>
      <c r="I26" s="37"/>
      <c r="J26" s="37"/>
      <c r="K26" s="10"/>
      <c r="L26" s="11"/>
      <c r="M26" s="11"/>
      <c r="N26" s="38"/>
      <c r="O26" s="37"/>
      <c r="P26" s="38"/>
      <c r="Q26" s="59"/>
      <c r="W26" s="111"/>
      <c r="X26" s="112"/>
      <c r="Y26" s="112"/>
      <c r="Z26" s="126"/>
    </row>
    <row r="27" spans="1:26" ht="15.75" thickBot="1" x14ac:dyDescent="0.3">
      <c r="A27" s="65">
        <v>45774</v>
      </c>
      <c r="B27" s="66"/>
      <c r="C27" s="66"/>
      <c r="D27" s="66"/>
      <c r="E27" s="67"/>
      <c r="F27" s="67"/>
      <c r="G27" s="67"/>
      <c r="H27" s="67"/>
      <c r="I27" s="68"/>
      <c r="J27" s="68"/>
      <c r="K27" s="69"/>
      <c r="L27" s="70"/>
      <c r="M27" s="70"/>
      <c r="N27" s="71"/>
      <c r="O27" s="68"/>
      <c r="P27" s="71"/>
      <c r="Q27" s="72"/>
      <c r="W27" s="113"/>
      <c r="X27" s="114"/>
      <c r="Y27" s="114"/>
      <c r="Z27" s="127"/>
    </row>
    <row r="28" spans="1:26" x14ac:dyDescent="0.25">
      <c r="A28" s="49">
        <v>45775</v>
      </c>
      <c r="B28" s="2"/>
      <c r="C28" s="2"/>
      <c r="D28" s="2"/>
      <c r="E28" s="3"/>
      <c r="F28" s="3"/>
      <c r="G28" s="3"/>
      <c r="H28" s="3"/>
      <c r="I28" s="4"/>
      <c r="J28" s="4"/>
      <c r="K28" s="47"/>
      <c r="O28" s="4"/>
      <c r="W28" s="117"/>
      <c r="X28" s="117"/>
      <c r="Y28" s="117"/>
      <c r="Z28" s="117"/>
    </row>
    <row r="29" spans="1:26" x14ac:dyDescent="0.25">
      <c r="A29" s="7">
        <v>45776</v>
      </c>
      <c r="B29" s="2"/>
      <c r="C29" s="2"/>
      <c r="D29" s="2"/>
      <c r="E29" s="3"/>
      <c r="F29" s="3"/>
      <c r="G29" s="3"/>
      <c r="H29" s="3"/>
      <c r="I29" s="4"/>
      <c r="J29" s="4"/>
      <c r="K29" s="47"/>
      <c r="O29" s="4"/>
      <c r="W29" s="117"/>
      <c r="X29" s="117"/>
      <c r="Y29" s="117"/>
      <c r="Z29" s="117"/>
    </row>
    <row r="30" spans="1:26" x14ac:dyDescent="0.25">
      <c r="A30" s="7">
        <v>45777</v>
      </c>
      <c r="B30" s="2"/>
      <c r="C30" s="2"/>
      <c r="D30" s="2"/>
      <c r="E30" s="3"/>
      <c r="F30" s="3"/>
      <c r="G30" s="3"/>
      <c r="H30" s="3"/>
      <c r="I30" s="4"/>
      <c r="J30" s="4"/>
      <c r="K30" s="47"/>
      <c r="O30" s="4"/>
      <c r="W30" s="117"/>
      <c r="X30" s="117"/>
      <c r="Y30" s="117"/>
      <c r="Z30" s="117"/>
    </row>
    <row r="31" spans="1:26" x14ac:dyDescent="0.25">
      <c r="A31" s="7">
        <v>45778</v>
      </c>
      <c r="B31" s="2"/>
      <c r="C31" s="2"/>
      <c r="D31" s="2"/>
      <c r="E31" s="3"/>
      <c r="F31" s="3"/>
      <c r="G31" s="3"/>
      <c r="H31" s="3"/>
      <c r="I31" s="4"/>
      <c r="J31" s="4"/>
      <c r="K31" s="47"/>
      <c r="O31" s="4"/>
      <c r="W31" s="117"/>
      <c r="X31" s="117"/>
      <c r="Y31" s="117"/>
      <c r="Z31" s="117"/>
    </row>
    <row r="32" spans="1:26" x14ac:dyDescent="0.25">
      <c r="A32" s="1"/>
      <c r="B32" s="2"/>
      <c r="C32" s="2"/>
      <c r="D32" s="2"/>
      <c r="E32" s="3"/>
      <c r="F32" s="3"/>
      <c r="G32" s="3"/>
      <c r="H32" s="3"/>
      <c r="I32" s="4"/>
      <c r="J32" s="4"/>
      <c r="K32" s="47"/>
      <c r="O32" s="4"/>
      <c r="W32" s="117"/>
      <c r="X32" s="117"/>
      <c r="Y32" s="117"/>
      <c r="Z32" s="117"/>
    </row>
    <row r="33" spans="1:26" x14ac:dyDescent="0.25">
      <c r="A33" s="3"/>
      <c r="B33" s="2"/>
      <c r="C33" s="2"/>
      <c r="D33" s="2"/>
      <c r="E33" s="3"/>
      <c r="F33" s="3"/>
      <c r="G33" s="3"/>
      <c r="H33" s="3"/>
      <c r="I33" s="4"/>
      <c r="J33" s="4"/>
      <c r="K33" s="47"/>
      <c r="O33" s="4"/>
      <c r="W33" s="117"/>
      <c r="X33" s="117"/>
      <c r="Y33" s="117"/>
      <c r="Z33" s="117"/>
    </row>
    <row r="34" spans="1:26" x14ac:dyDescent="0.25">
      <c r="A34" s="3"/>
      <c r="B34" s="2"/>
      <c r="C34" s="2"/>
      <c r="D34" s="2"/>
      <c r="E34" s="3"/>
      <c r="F34" s="3"/>
      <c r="G34" s="3"/>
      <c r="H34" s="3"/>
      <c r="I34" s="4"/>
      <c r="J34" s="4"/>
      <c r="K34" s="47"/>
      <c r="O34" s="4"/>
    </row>
    <row r="35" spans="1:26" x14ac:dyDescent="0.25">
      <c r="A35" s="3"/>
      <c r="B35" s="2"/>
      <c r="C35" s="2"/>
      <c r="D35" s="2"/>
      <c r="E35" s="3"/>
      <c r="F35" s="3"/>
      <c r="G35" s="3"/>
      <c r="H35" s="3"/>
      <c r="I35" s="4"/>
      <c r="J35" s="4"/>
      <c r="K35" s="47"/>
      <c r="O35" s="4"/>
    </row>
    <row r="36" spans="1:26" x14ac:dyDescent="0.25">
      <c r="A36" s="3"/>
      <c r="B36" s="2"/>
      <c r="C36" s="2"/>
      <c r="D36" s="2"/>
      <c r="E36" s="3"/>
      <c r="F36" s="3"/>
      <c r="G36" s="3"/>
      <c r="H36" s="3"/>
      <c r="I36" s="4"/>
      <c r="J36" s="4"/>
      <c r="K36" s="47"/>
      <c r="O36" s="4"/>
    </row>
    <row r="37" spans="1:26" x14ac:dyDescent="0.25">
      <c r="A37" s="3"/>
      <c r="B37" s="2"/>
      <c r="C37" s="2"/>
      <c r="D37" s="2"/>
      <c r="E37" s="3"/>
      <c r="F37" s="3"/>
      <c r="G37" s="3"/>
      <c r="H37" s="3"/>
      <c r="I37" s="4"/>
      <c r="J37" s="4"/>
      <c r="K37" s="47"/>
      <c r="O37" s="4"/>
    </row>
    <row r="38" spans="1:26" x14ac:dyDescent="0.25">
      <c r="A38" s="3"/>
      <c r="B38" s="2"/>
      <c r="C38" s="2"/>
      <c r="D38" s="2"/>
      <c r="E38" s="3"/>
      <c r="F38" s="3"/>
      <c r="G38" s="3"/>
      <c r="H38" s="3"/>
      <c r="I38" s="3"/>
      <c r="J38" s="3"/>
      <c r="K38" s="47"/>
      <c r="O38" s="4"/>
    </row>
    <row r="39" spans="1:26" x14ac:dyDescent="0.25">
      <c r="O39" s="4"/>
    </row>
  </sheetData>
  <sortState xmlns:xlrd2="http://schemas.microsoft.com/office/spreadsheetml/2017/richdata2" ref="S11:U20">
    <sortCondition descending="1" ref="U11:U20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artem.vorobyov1@outlook.com</cp:lastModifiedBy>
  <dcterms:created xsi:type="dcterms:W3CDTF">2015-06-05T18:19:34Z</dcterms:created>
  <dcterms:modified xsi:type="dcterms:W3CDTF">2025-04-13T09:04:03Z</dcterms:modified>
</cp:coreProperties>
</file>