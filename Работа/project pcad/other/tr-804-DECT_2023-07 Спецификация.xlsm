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/>
  <bookViews>
    <workbookView xWindow="-120" yWindow="-60" windowWidth="29040" windowHeight="15780"/>
  </bookViews>
  <sheets>
    <sheet name="Лист1" sheetId="1" r:id="rId1"/>
    <sheet name="Лист2" sheetId="2" r:id="rId2"/>
  </sheets>
  <definedNames>
    <definedName name="_xlnm._FilterDatabase" localSheetId="0" hidden="1">Лист1!$A$3:$H$3</definedName>
  </definedNames>
  <calcPr calcId="145621"/>
</workbook>
</file>

<file path=xl/calcChain.xml><?xml version="1.0" encoding="utf-8"?>
<calcChain xmlns="http://schemas.openxmlformats.org/spreadsheetml/2006/main">
  <c r="H40" i="1" l="1"/>
  <c r="H27" i="1" l="1"/>
  <c r="H54" i="1" l="1"/>
  <c r="H53" i="1"/>
  <c r="H52" i="1"/>
  <c r="H51" i="1"/>
  <c r="H49" i="1"/>
  <c r="H48" i="1"/>
  <c r="H47" i="1"/>
  <c r="H46" i="1"/>
  <c r="H45" i="1"/>
  <c r="H44" i="1"/>
  <c r="H43" i="1"/>
  <c r="H42" i="1"/>
  <c r="H41" i="1"/>
  <c r="H39" i="1"/>
  <c r="H38" i="1"/>
  <c r="H37" i="1"/>
  <c r="H36" i="1"/>
  <c r="H35" i="1"/>
  <c r="H34" i="1"/>
  <c r="H33" i="1"/>
  <c r="H32" i="1"/>
  <c r="H31" i="1"/>
  <c r="H30" i="1"/>
  <c r="H29" i="1"/>
  <c r="H28" i="1"/>
  <c r="H26" i="1"/>
  <c r="H25" i="1"/>
  <c r="H24" i="1"/>
  <c r="H23" i="1"/>
  <c r="H22" i="1"/>
  <c r="H21" i="1"/>
  <c r="H20" i="1"/>
  <c r="H19" i="1"/>
  <c r="H18" i="1"/>
  <c r="H17" i="1"/>
  <c r="H15" i="1"/>
  <c r="H14" i="1"/>
  <c r="H13" i="1"/>
  <c r="H12" i="1"/>
  <c r="H11" i="1"/>
  <c r="H10" i="1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<sst xmlns="http://schemas.openxmlformats.org/spreadsheetml/2006/main" count="353" uniqueCount="177">
  <si>
    <t>Count</t>
  </si>
  <si>
    <t>RefDes</t>
  </si>
  <si>
    <t>Value</t>
  </si>
  <si>
    <t>PatternName</t>
  </si>
  <si>
    <t>Description</t>
  </si>
  <si>
    <t>Group</t>
  </si>
  <si>
    <t>SwapEquivalence</t>
  </si>
  <si>
    <t>Резисторы</t>
  </si>
  <si>
    <t>Конденсаторы</t>
  </si>
  <si>
    <t>Индуктивности</t>
  </si>
  <si>
    <t>Диоды</t>
  </si>
  <si>
    <t>Разъемы</t>
  </si>
  <si>
    <t>Транзисторы</t>
  </si>
  <si>
    <t>Микросхемы</t>
  </si>
  <si>
    <t>Переключатели</t>
  </si>
  <si>
    <t>Преобразователи</t>
  </si>
  <si>
    <t>Светодиоды</t>
  </si>
  <si>
    <t>U</t>
  </si>
  <si>
    <t>G</t>
  </si>
  <si>
    <t>Q</t>
  </si>
  <si>
    <t>BO</t>
  </si>
  <si>
    <t>K</t>
  </si>
  <si>
    <t>T,TR</t>
  </si>
  <si>
    <t>E</t>
  </si>
  <si>
    <t>D,DA,DD</t>
  </si>
  <si>
    <t>VD</t>
  </si>
  <si>
    <t xml:space="preserve">VT </t>
  </si>
  <si>
    <t xml:space="preserve">L </t>
  </si>
  <si>
    <t>C</t>
  </si>
  <si>
    <t xml:space="preserve">R </t>
  </si>
  <si>
    <t>FU</t>
  </si>
  <si>
    <t>S,SA,SB,SW</t>
  </si>
  <si>
    <t>X</t>
  </si>
  <si>
    <t>H</t>
  </si>
  <si>
    <t>BM</t>
  </si>
  <si>
    <t>Z</t>
  </si>
  <si>
    <t>Генераторы</t>
  </si>
  <si>
    <t>Кварцы</t>
  </si>
  <si>
    <t>Пьезоэлемент</t>
  </si>
  <si>
    <t>Реле</t>
  </si>
  <si>
    <t>Трансформаторы</t>
  </si>
  <si>
    <t>Модули</t>
  </si>
  <si>
    <t>Предохранители</t>
  </si>
  <si>
    <t>Дисплеи</t>
  </si>
  <si>
    <t>Микрофон</t>
  </si>
  <si>
    <t>Фильтры</t>
  </si>
  <si>
    <t>HL</t>
  </si>
  <si>
    <t>#</t>
  </si>
  <si>
    <t>Таблица обозначений элементов (используется для сортировки)</t>
  </si>
  <si>
    <t>Кол-во плат:</t>
  </si>
  <si>
    <t>Кол-во элем.</t>
  </si>
  <si>
    <t/>
  </si>
  <si>
    <t>SMD-0402</t>
  </si>
  <si>
    <t>SMD-0603</t>
  </si>
  <si>
    <t>не закупать и не монтировать</t>
  </si>
  <si>
    <t>33E 5%</t>
  </si>
  <si>
    <t>470E 5%</t>
  </si>
  <si>
    <t>SMD-1206</t>
  </si>
  <si>
    <t>CAT16-330J4LF</t>
  </si>
  <si>
    <t>SMD-0805</t>
  </si>
  <si>
    <t>CASE_B</t>
  </si>
  <si>
    <t>DD2</t>
  </si>
  <si>
    <t>DD1</t>
  </si>
  <si>
    <t>DA1</t>
  </si>
  <si>
    <t>SC14CVMDECT SF02</t>
  </si>
  <si>
    <t>X3</t>
  </si>
  <si>
    <t>DD3</t>
  </si>
  <si>
    <t>SOT-23</t>
  </si>
  <si>
    <t>FDV301N</t>
  </si>
  <si>
    <t>X5</t>
  </si>
  <si>
    <t>PLD2-6</t>
  </si>
  <si>
    <t>X4</t>
  </si>
  <si>
    <t>SC14CVMDECT(DECT)</t>
  </si>
  <si>
    <t>SMD-1210</t>
  </si>
  <si>
    <t>R26, R27</t>
  </si>
  <si>
    <t>X1</t>
  </si>
  <si>
    <t>R58</t>
  </si>
  <si>
    <t>C3</t>
  </si>
  <si>
    <t>100p NPO</t>
  </si>
  <si>
    <t>N.M.</t>
  </si>
  <si>
    <t>0.1uF X7R 16V</t>
  </si>
  <si>
    <t>1nF NPO</t>
  </si>
  <si>
    <t>1u X7R</t>
  </si>
  <si>
    <t>C1</t>
  </si>
  <si>
    <t>NFM18CC223R1C3D</t>
  </si>
  <si>
    <t>R44</t>
  </si>
  <si>
    <t>0E 5%</t>
  </si>
  <si>
    <t>R59</t>
  </si>
  <si>
    <t>1k 5%</t>
  </si>
  <si>
    <t>R60</t>
  </si>
  <si>
    <t>4k7 5%</t>
  </si>
  <si>
    <t>10k 5%</t>
  </si>
  <si>
    <t>47k 5%</t>
  </si>
  <si>
    <t>R31</t>
  </si>
  <si>
    <t>270E 1%</t>
  </si>
  <si>
    <t>R57</t>
  </si>
  <si>
    <t>330E 1%</t>
  </si>
  <si>
    <t>N.M.(10k 5%)</t>
  </si>
  <si>
    <t>R54</t>
  </si>
  <si>
    <t>N.M.(47k 5%)</t>
  </si>
  <si>
    <t>CAT16-471J4LF</t>
  </si>
  <si>
    <t>CAT16-473J4LF</t>
  </si>
  <si>
    <t>L1</t>
  </si>
  <si>
    <t>MMZ2012R102AT</t>
  </si>
  <si>
    <t>R55</t>
  </si>
  <si>
    <t>1.5k 5%</t>
  </si>
  <si>
    <t>R56</t>
  </si>
  <si>
    <t>2.2k 5%</t>
  </si>
  <si>
    <t>SB1</t>
  </si>
  <si>
    <t>кнопка тактовая угловая (h=8mm)</t>
  </si>
  <si>
    <t>100uF 6.3V tantal</t>
  </si>
  <si>
    <t>74LVC1G3157DW-7</t>
  </si>
  <si>
    <t>SC70-6</t>
  </si>
  <si>
    <t>TS5A3159DCKR, SN74LVC1G3157DCKR(TI)</t>
  </si>
  <si>
    <t>74HC4052PW.112</t>
  </si>
  <si>
    <t>SOP-16</t>
  </si>
  <si>
    <t>AT24C32AN-10SU-2.7</t>
  </si>
  <si>
    <t>SO-8</t>
  </si>
  <si>
    <t>PIC18F26K22-I/ML</t>
  </si>
  <si>
    <t>QFN-28(6X6)</t>
  </si>
  <si>
    <t>SN74AHC1G14DBVR</t>
  </si>
  <si>
    <t>SOT-25</t>
  </si>
  <si>
    <t>DD8</t>
  </si>
  <si>
    <t>SN74AHC1G32DBVR</t>
  </si>
  <si>
    <t>DD4</t>
  </si>
  <si>
    <t>SN74AHC1G86DBVR</t>
  </si>
  <si>
    <t>DD5</t>
  </si>
  <si>
    <t>SN74HC74D</t>
  </si>
  <si>
    <t>SO-14</t>
  </si>
  <si>
    <t>SN74HC164PW</t>
  </si>
  <si>
    <t>SN74HC165PW</t>
  </si>
  <si>
    <t>LL4148-GS08</t>
  </si>
  <si>
    <t>SOD80C</t>
  </si>
  <si>
    <t>HL1</t>
  </si>
  <si>
    <t>IN-S128TATRGB(Inolux)</t>
  </si>
  <si>
    <t>HSMF-C118 (Broadcom)</t>
  </si>
  <si>
    <t>VT1</t>
  </si>
  <si>
    <t>IRLML9301TRPBF</t>
  </si>
  <si>
    <t>IDC-6MS</t>
  </si>
  <si>
    <t>X8</t>
  </si>
  <si>
    <t>IDC-14MS</t>
  </si>
  <si>
    <t>X2</t>
  </si>
  <si>
    <t>PLD-26</t>
  </si>
  <si>
    <t>PLD-32</t>
  </si>
  <si>
    <t>PLS-5</t>
  </si>
  <si>
    <t>HYR-1142(HOYUTEC)</t>
  </si>
  <si>
    <t>закупить но не монтировать</t>
  </si>
  <si>
    <t>X6, X7</t>
  </si>
  <si>
    <t>DA2, DA3, DA4, DA5</t>
  </si>
  <si>
    <t>C12, C13, C14, C15, C16, C17, C18, C19, C20, C21, C22, C23, C24, C25, C26, C27, C28, C29, C30, C31, C32, C33, C34, C35, C36, C37, C38, C39, C40, C56</t>
  </si>
  <si>
    <t>R9, R10, R11, R12, R13, R14, R15, R16</t>
  </si>
  <si>
    <t>C10, C11</t>
  </si>
  <si>
    <t>C4, C5, C7</t>
  </si>
  <si>
    <t>R42, R43, R46, R47, R48, R49</t>
  </si>
  <si>
    <t>R28, R29, R30</t>
  </si>
  <si>
    <t>R17, R18, R19, R20, R21</t>
  </si>
  <si>
    <t>R7, R8</t>
  </si>
  <si>
    <t>R24, R25</t>
  </si>
  <si>
    <t>VD1, VD2</t>
  </si>
  <si>
    <t>DD22, DD23, DD24, DD25, DD26, DD27, DD28, DD29</t>
  </si>
  <si>
    <t>VT2, VT3</t>
  </si>
  <si>
    <t>DD6, DD7</t>
  </si>
  <si>
    <t>DD10, DD11, DD12, DD13, DD14, DD15, DD16, DD17, DD18, DD19, DD20, DD21</t>
  </si>
  <si>
    <t>L3, L4</t>
  </si>
  <si>
    <t>R50, R51, R52, R53</t>
  </si>
  <si>
    <t>уточнить перед заказом</t>
  </si>
  <si>
    <t>TSSOP-14</t>
  </si>
  <si>
    <t xml:space="preserve">132-NUT-SMA-GLD (Amphenol) </t>
  </si>
  <si>
    <t>гайка SMA</t>
  </si>
  <si>
    <t>SMA разъем без гайки</t>
  </si>
  <si>
    <t xml:space="preserve">KLS7-TS6606-8.0-180 </t>
  </si>
  <si>
    <t>световод</t>
  </si>
  <si>
    <t>LPE1-5-19 (DART)</t>
  </si>
  <si>
    <t>C52, C53</t>
  </si>
  <si>
    <t>PIC18LF26K22-I/ML</t>
  </si>
  <si>
    <t>R45</t>
  </si>
  <si>
    <t>Спецификация на плату tr-804-DECT_2023-07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</si>
</sst>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CF8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49" fontId="0" fillId="0" borderId="0" xfId="0" applyNumberFormat="1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49" fontId="2" fillId="0" borderId="1" xfId="0" applyNumberFormat="1" applyFont="1" applyBorder="1" applyAlignment="1">
      <alignment wrapText="1"/>
    </xf>
    <xf numFmtId="49" fontId="3" fillId="0" borderId="0" xfId="0" applyNumberFormat="1" applyFont="1" applyAlignment="1">
      <alignment wrapText="1"/>
    </xf>
    <xf numFmtId="0" fontId="4" fillId="2" borderId="1" xfId="0" applyFont="1" applyFill="1" applyBorder="1"/>
    <xf numFmtId="49" fontId="2" fillId="3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1" xfId="0" applyNumberFormat="1" applyBorder="1" applyAlignment="1">
      <alignment wrapText="1"/>
    </xf>
    <xf numFmtId="49" fontId="3" fillId="0" borderId="1" xfId="0" applyNumberFormat="1" applyFont="1" applyBorder="1" applyAlignment="1">
      <alignment wrapText="1"/>
    </xf>
    <xf numFmtId="49" fontId="0" fillId="4" borderId="1" xfId="0" applyNumberFormat="1" applyFill="1" applyBorder="1" applyAlignment="1">
      <alignment wrapText="1"/>
    </xf>
    <xf numFmtId="0" fontId="0" fillId="5" borderId="1" xfId="0" applyFill="1" applyBorder="1" applyAlignment="1">
      <alignment wrapText="1"/>
    </xf>
    <xf numFmtId="49" fontId="0" fillId="5" borderId="1" xfId="0" applyNumberFormat="1" applyFill="1" applyBorder="1" applyAlignment="1">
      <alignment wrapText="1"/>
    </xf>
    <xf numFmtId="49" fontId="3" fillId="5" borderId="1" xfId="0" applyNumberFormat="1" applyFont="1" applyFill="1" applyBorder="1" applyAlignment="1">
      <alignment wrapText="1"/>
    </xf>
    <xf numFmtId="0" fontId="0" fillId="0" borderId="0" xfId="0" applyAlignment="1">
      <alignment wrapText="1"/>
    </xf>
    <xf numFmtId="49" fontId="0" fillId="7" borderId="1" xfId="0" applyNumberFormat="1" applyFill="1" applyBorder="1" applyAlignment="1">
      <alignment wrapText="1"/>
    </xf>
    <xf numFmtId="49" fontId="0" fillId="0" borderId="1" xfId="0" applyNumberFormat="1" applyBorder="1" applyAlignment="1">
      <alignment vertical="center" wrapText="1"/>
    </xf>
    <xf numFmtId="49" fontId="3" fillId="0" borderId="1" xfId="0" applyNumberFormat="1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49" fontId="2" fillId="0" borderId="1" xfId="0" applyNumberFormat="1" applyFont="1" applyBorder="1" applyAlignment="1">
      <alignment vertical="center" wrapText="1"/>
    </xf>
    <xf numFmtId="164" fontId="2" fillId="0" borderId="1" xfId="0" applyNumberFormat="1" applyFont="1" applyBorder="1" applyAlignment="1">
      <alignment vertical="center"/>
    </xf>
    <xf numFmtId="164" fontId="2" fillId="3" borderId="1" xfId="0" applyNumberFormat="1" applyFont="1" applyFill="1" applyBorder="1" applyAlignment="1"/>
    <xf numFmtId="164" fontId="0" fillId="0" borderId="0" xfId="0" applyNumberFormat="1" applyAlignment="1"/>
    <xf numFmtId="164" fontId="0" fillId="0" borderId="1" xfId="0" applyNumberFormat="1" applyBorder="1" applyAlignment="1"/>
    <xf numFmtId="164" fontId="0" fillId="5" borderId="1" xfId="0" applyNumberFormat="1" applyFill="1" applyBorder="1" applyAlignment="1"/>
    <xf numFmtId="49" fontId="1" fillId="5" borderId="1" xfId="0" applyNumberFormat="1" applyFont="1" applyFill="1" applyBorder="1" applyAlignment="1">
      <alignment wrapText="1"/>
    </xf>
    <xf numFmtId="49" fontId="0" fillId="0" borderId="0" xfId="0" applyNumberFormat="1" applyAlignment="1">
      <alignment vertical="center" wrapText="1"/>
    </xf>
    <xf numFmtId="49" fontId="0" fillId="5" borderId="1" xfId="0" applyNumberFormat="1" applyFill="1" applyBorder="1" applyAlignment="1">
      <alignment vertical="center" wrapText="1"/>
    </xf>
    <xf numFmtId="49" fontId="0" fillId="0" borderId="2" xfId="0" applyNumberFormat="1" applyBorder="1" applyAlignment="1">
      <alignment horizontal="left" wrapText="1"/>
    </xf>
    <xf numFmtId="49" fontId="0" fillId="0" borderId="3" xfId="0" applyNumberFormat="1" applyBorder="1" applyAlignment="1">
      <alignment horizontal="left" wrapText="1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0" fontId="0" fillId="5" borderId="2" xfId="0" applyFill="1" applyBorder="1" applyAlignment="1">
      <alignment horizontal="center" wrapText="1"/>
    </xf>
    <xf numFmtId="0" fontId="0" fillId="5" borderId="3" xfId="0" applyFill="1" applyBorder="1" applyAlignment="1">
      <alignment horizontal="center" wrapText="1"/>
    </xf>
    <xf numFmtId="49" fontId="0" fillId="5" borderId="2" xfId="0" applyNumberFormat="1" applyFill="1" applyBorder="1" applyAlignment="1">
      <alignment horizontal="left" vertical="center" wrapText="1"/>
    </xf>
    <xf numFmtId="49" fontId="0" fillId="5" borderId="3" xfId="0" applyNumberFormat="1" applyFill="1" applyBorder="1" applyAlignment="1">
      <alignment horizontal="left" vertical="center" wrapText="1"/>
    </xf>
    <xf numFmtId="49" fontId="0" fillId="5" borderId="2" xfId="0" applyNumberFormat="1" applyFill="1" applyBorder="1" applyAlignment="1">
      <alignment horizontal="left" wrapText="1"/>
    </xf>
    <xf numFmtId="49" fontId="0" fillId="5" borderId="3" xfId="0" applyNumberFormat="1" applyFill="1" applyBorder="1" applyAlignment="1">
      <alignment horizontal="left" wrapText="1"/>
    </xf>
    <xf numFmtId="164" fontId="0" fillId="5" borderId="2" xfId="0" applyNumberFormat="1" applyFill="1" applyBorder="1" applyAlignment="1">
      <alignment horizontal="right"/>
    </xf>
    <xf numFmtId="164" fontId="0" fillId="5" borderId="3" xfId="0" applyNumberFormat="1" applyFill="1" applyBorder="1" applyAlignment="1">
      <alignment horizontal="right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2" xfId="0" applyBorder="1" applyAlignment="1">
      <alignment horizontal="right" wrapText="1"/>
    </xf>
    <xf numFmtId="0" fontId="0" fillId="0" borderId="3" xfId="0" applyBorder="1" applyAlignment="1">
      <alignment horizontal="right" wrapText="1"/>
    </xf>
    <xf numFmtId="49" fontId="0" fillId="0" borderId="2" xfId="0" applyNumberFormat="1" applyBorder="1" applyAlignment="1">
      <alignment horizontal="left" vertical="center" wrapText="1"/>
    </xf>
    <xf numFmtId="49" fontId="0" fillId="0" borderId="3" xfId="0" applyNumberFormat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49" fontId="0" fillId="2" borderId="2" xfId="0" applyNumberFormat="1" applyFill="1" applyBorder="1" applyAlignment="1">
      <alignment vertical="center" wrapText="1"/>
    </xf>
    <xf numFmtId="49" fontId="0" fillId="6" borderId="1" xfId="0" applyNumberFormat="1" applyFill="1" applyBorder="1" applyAlignment="1">
      <alignment vertical="center" wrapText="1"/>
    </xf>
    <xf numFmtId="49" fontId="0" fillId="0" borderId="2" xfId="0" applyNumberFormat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57152</xdr:colOff>
      <xdr:row>0</xdr:row>
      <xdr:rowOff>28577</xdr:rowOff>
    </xdr:from>
    <xdr:to>
      <xdr:col>5</xdr:col>
      <xdr:colOff>523875</xdr:colOff>
      <xdr:row>1</xdr:row>
      <xdr:rowOff>142874</xdr:rowOff>
    </xdr:to>
    <xdr:sp macro="[0]!OrderList" textlink="">
      <xdr:nvSpPr>
        <xdr:cNvPr id="2" name="Скругленный прямоугольник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4733927" y="28577"/>
          <a:ext cx="1514473" cy="304797"/>
        </a:xfrm>
        <a:prstGeom prst="roundRect">
          <a:avLst/>
        </a:prstGeom>
        <a:solidFill>
          <a:srgbClr val="C00000">
            <a:alpha val="10000"/>
          </a:srgbClr>
        </a:solidFill>
        <a:ln w="158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</a:rPr>
            <a:t>Выбрать </a:t>
          </a:r>
          <a:r>
            <a:rPr lang="en-US" sz="1100" b="1">
              <a:solidFill>
                <a:sysClr val="windowText" lastClr="000000"/>
              </a:solidFill>
            </a:rPr>
            <a:t>.BOM</a:t>
          </a:r>
          <a:r>
            <a:rPr lang="en-US" sz="1100" b="1" baseline="0">
              <a:solidFill>
                <a:sysClr val="windowText" lastClr="000000"/>
              </a:solidFill>
            </a:rPr>
            <a:t> </a:t>
          </a:r>
          <a:r>
            <a:rPr lang="ru-RU" sz="1100" b="1" baseline="0">
              <a:solidFill>
                <a:sysClr val="windowText" lastClr="000000"/>
              </a:solidFill>
            </a:rPr>
            <a:t>файл</a:t>
          </a:r>
          <a:endParaRPr lang="ru-RU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>
            <a:alpha val="10000"/>
          </a:srgbClr>
        </a:solidFill>
        <a:ln w="15875"/>
      </a:spPr>
      <a:bodyPr vertOverflow="clip" horzOverflow="clip" rtlCol="0" anchor="ctr"/>
      <a:lstStyle>
        <a:defPPr algn="ctr">
          <a:defRPr sz="1100" b="1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H165"/>
  <sheetViews>
    <sheetView tabSelected="1" workbookViewId="0">
      <pane xSplit="8" ySplit="3" topLeftCell="I4" activePane="bottomRight" state="frozenSplit"/>
      <selection pane="topRight" activeCell="E1" sqref="E1"/>
      <selection pane="bottomLeft" activeCell="A9" sqref="A9"/>
      <selection pane="bottomRight" sqref="A1:D1"/>
    </sheetView>
  </sheetViews>
  <sheetFormatPr defaultColWidth="9.140625" defaultRowHeight="15" x14ac:dyDescent="0.25"/>
  <cols>
    <col min="1" max="1" width="6.5703125" style="16" customWidth="1"/>
    <col min="2" max="2" width="21.42578125" style="28" customWidth="1"/>
    <col min="3" max="3" width="23.28515625" style="1" customWidth="1"/>
    <col min="4" max="4" width="13.5703125" style="1" customWidth="1"/>
    <col min="5" max="5" width="16" style="1" customWidth="1"/>
    <col min="6" max="6" width="29.28515625" style="1" customWidth="1"/>
    <col min="7" max="7" width="16.28515625" style="1" customWidth="1"/>
    <col min="8" max="8" width="12.85546875" style="24" customWidth="1"/>
    <col min="9" max="9" width="13.42578125" customWidth="1"/>
  </cols>
  <sheetData>
    <row r="1" spans="1:8" ht="15" customHeight="1" x14ac:dyDescent="0.25">
      <c r="A1" s="42" t="s">
        <v>176</v>
      </c>
      <c r="B1" s="43"/>
      <c r="C1" s="43"/>
      <c r="D1" s="43"/>
      <c r="G1" s="8" t="s">
        <v>49</v>
      </c>
      <c r="H1" s="23">
        <v>1</v>
      </c>
    </row>
    <row r="2" spans="1:8" ht="15" customHeight="1" x14ac:dyDescent="0.25"/>
    <row r="3" spans="1:8" x14ac:dyDescent="0.25">
      <c r="A3" s="20" t="s">
        <v>0</v>
      </c>
      <c r="B3" s="21" t="s">
        <v>1</v>
      </c>
      <c r="C3" s="21" t="s">
        <v>2</v>
      </c>
      <c r="D3" s="5" t="s">
        <v>3</v>
      </c>
      <c r="E3" s="5" t="s">
        <v>4</v>
      </c>
      <c r="F3" s="5" t="s">
        <v>6</v>
      </c>
      <c r="G3" s="21" t="s">
        <v>5</v>
      </c>
      <c r="H3" s="22" t="s">
        <v>50</v>
      </c>
    </row>
    <row r="4" spans="1:8" x14ac:dyDescent="0.25">
      <c r="A4" s="9">
        <v>1</v>
      </c>
      <c r="B4" s="18" t="s">
        <v>66</v>
      </c>
      <c r="C4" s="18" t="s">
        <v>114</v>
      </c>
      <c r="D4" s="10" t="s">
        <v>115</v>
      </c>
      <c r="E4" s="10" t="s">
        <v>51</v>
      </c>
      <c r="F4" s="11" t="s">
        <v>51</v>
      </c>
      <c r="G4" s="10" t="s">
        <v>13</v>
      </c>
      <c r="H4" s="25">
        <f t="shared" ref="H4:H15" si="0">H$1*A4</f>
        <v>1</v>
      </c>
    </row>
    <row r="5" spans="1:8" ht="30" x14ac:dyDescent="0.25">
      <c r="A5" s="9">
        <v>4</v>
      </c>
      <c r="B5" s="18" t="s">
        <v>148</v>
      </c>
      <c r="C5" s="10" t="s">
        <v>111</v>
      </c>
      <c r="D5" s="18" t="s">
        <v>112</v>
      </c>
      <c r="E5" s="10" t="s">
        <v>51</v>
      </c>
      <c r="F5" s="11" t="s">
        <v>113</v>
      </c>
      <c r="G5" s="10" t="s">
        <v>13</v>
      </c>
      <c r="H5" s="25">
        <f t="shared" si="0"/>
        <v>4</v>
      </c>
    </row>
    <row r="6" spans="1:8" x14ac:dyDescent="0.25">
      <c r="A6" s="9">
        <v>1</v>
      </c>
      <c r="B6" s="18" t="s">
        <v>62</v>
      </c>
      <c r="C6" s="10" t="s">
        <v>116</v>
      </c>
      <c r="D6" s="10" t="s">
        <v>117</v>
      </c>
      <c r="E6" s="10" t="s">
        <v>51</v>
      </c>
      <c r="F6" s="11" t="s">
        <v>51</v>
      </c>
      <c r="G6" s="10" t="s">
        <v>13</v>
      </c>
      <c r="H6" s="25">
        <f t="shared" si="0"/>
        <v>1</v>
      </c>
    </row>
    <row r="7" spans="1:8" x14ac:dyDescent="0.25">
      <c r="A7" s="9">
        <v>1</v>
      </c>
      <c r="B7" s="18" t="s">
        <v>61</v>
      </c>
      <c r="C7" s="10" t="s">
        <v>118</v>
      </c>
      <c r="D7" s="10" t="s">
        <v>119</v>
      </c>
      <c r="E7" s="10" t="s">
        <v>51</v>
      </c>
      <c r="F7" s="11" t="s">
        <v>174</v>
      </c>
      <c r="G7" s="10" t="s">
        <v>13</v>
      </c>
      <c r="H7" s="25">
        <f t="shared" si="0"/>
        <v>1</v>
      </c>
    </row>
    <row r="8" spans="1:8" ht="30" x14ac:dyDescent="0.25">
      <c r="A8" s="9">
        <v>1</v>
      </c>
      <c r="B8" s="18" t="s">
        <v>63</v>
      </c>
      <c r="C8" s="10" t="s">
        <v>64</v>
      </c>
      <c r="D8" s="10" t="s">
        <v>72</v>
      </c>
      <c r="E8" s="17" t="s">
        <v>165</v>
      </c>
      <c r="F8" s="11" t="s">
        <v>51</v>
      </c>
      <c r="G8" s="10" t="s">
        <v>13</v>
      </c>
      <c r="H8" s="25">
        <f t="shared" si="0"/>
        <v>1</v>
      </c>
    </row>
    <row r="9" spans="1:8" x14ac:dyDescent="0.25">
      <c r="A9" s="9">
        <v>2</v>
      </c>
      <c r="B9" s="18" t="s">
        <v>161</v>
      </c>
      <c r="C9" s="10" t="s">
        <v>120</v>
      </c>
      <c r="D9" s="10" t="s">
        <v>121</v>
      </c>
      <c r="E9" s="10" t="s">
        <v>51</v>
      </c>
      <c r="F9" s="11" t="s">
        <v>51</v>
      </c>
      <c r="G9" s="10" t="s">
        <v>13</v>
      </c>
      <c r="H9" s="25">
        <f t="shared" si="0"/>
        <v>2</v>
      </c>
    </row>
    <row r="10" spans="1:8" x14ac:dyDescent="0.25">
      <c r="A10" s="9">
        <v>1</v>
      </c>
      <c r="B10" s="18" t="s">
        <v>122</v>
      </c>
      <c r="C10" s="10" t="s">
        <v>123</v>
      </c>
      <c r="D10" s="10" t="s">
        <v>121</v>
      </c>
      <c r="E10" s="10" t="s">
        <v>51</v>
      </c>
      <c r="F10" s="11" t="s">
        <v>51</v>
      </c>
      <c r="G10" s="10" t="s">
        <v>13</v>
      </c>
      <c r="H10" s="25">
        <f t="shared" si="0"/>
        <v>1</v>
      </c>
    </row>
    <row r="11" spans="1:8" x14ac:dyDescent="0.25">
      <c r="A11" s="9">
        <v>1</v>
      </c>
      <c r="B11" s="18" t="s">
        <v>124</v>
      </c>
      <c r="C11" s="10" t="s">
        <v>125</v>
      </c>
      <c r="D11" s="10" t="s">
        <v>121</v>
      </c>
      <c r="E11" s="10" t="s">
        <v>51</v>
      </c>
      <c r="F11" s="11" t="s">
        <v>51</v>
      </c>
      <c r="G11" s="10" t="s">
        <v>13</v>
      </c>
      <c r="H11" s="25">
        <f t="shared" si="0"/>
        <v>1</v>
      </c>
    </row>
    <row r="12" spans="1:8" ht="60" x14ac:dyDescent="0.25">
      <c r="A12" s="9">
        <v>12</v>
      </c>
      <c r="B12" s="18" t="s">
        <v>162</v>
      </c>
      <c r="C12" s="10" t="s">
        <v>129</v>
      </c>
      <c r="D12" s="10" t="s">
        <v>166</v>
      </c>
      <c r="E12" s="10" t="s">
        <v>51</v>
      </c>
      <c r="F12" s="11" t="s">
        <v>51</v>
      </c>
      <c r="G12" s="10" t="s">
        <v>13</v>
      </c>
      <c r="H12" s="25">
        <f t="shared" si="0"/>
        <v>12</v>
      </c>
    </row>
    <row r="13" spans="1:8" ht="45" x14ac:dyDescent="0.25">
      <c r="A13" s="9">
        <v>8</v>
      </c>
      <c r="B13" s="18" t="s">
        <v>159</v>
      </c>
      <c r="C13" s="10" t="s">
        <v>130</v>
      </c>
      <c r="D13" s="10" t="s">
        <v>115</v>
      </c>
      <c r="E13" s="10" t="s">
        <v>51</v>
      </c>
      <c r="F13" s="11" t="s">
        <v>51</v>
      </c>
      <c r="G13" s="10" t="s">
        <v>13</v>
      </c>
      <c r="H13" s="25">
        <f t="shared" si="0"/>
        <v>8</v>
      </c>
    </row>
    <row r="14" spans="1:8" x14ac:dyDescent="0.25">
      <c r="A14" s="9">
        <v>1</v>
      </c>
      <c r="B14" s="18" t="s">
        <v>126</v>
      </c>
      <c r="C14" s="10" t="s">
        <v>127</v>
      </c>
      <c r="D14" s="10" t="s">
        <v>128</v>
      </c>
      <c r="E14" s="10" t="s">
        <v>51</v>
      </c>
      <c r="F14" s="11" t="s">
        <v>51</v>
      </c>
      <c r="G14" s="10" t="s">
        <v>13</v>
      </c>
      <c r="H14" s="25">
        <f t="shared" si="0"/>
        <v>1</v>
      </c>
    </row>
    <row r="15" spans="1:8" x14ac:dyDescent="0.25">
      <c r="A15" s="34">
        <v>1</v>
      </c>
      <c r="B15" s="36" t="s">
        <v>133</v>
      </c>
      <c r="C15" s="14" t="s">
        <v>134</v>
      </c>
      <c r="D15" s="14" t="s">
        <v>73</v>
      </c>
      <c r="E15" s="14" t="s">
        <v>51</v>
      </c>
      <c r="F15" s="15" t="s">
        <v>135</v>
      </c>
      <c r="G15" s="38" t="s">
        <v>16</v>
      </c>
      <c r="H15" s="40">
        <f t="shared" si="0"/>
        <v>1</v>
      </c>
    </row>
    <row r="16" spans="1:8" ht="30" x14ac:dyDescent="0.25">
      <c r="A16" s="35"/>
      <c r="B16" s="37"/>
      <c r="C16" s="14" t="s">
        <v>172</v>
      </c>
      <c r="D16" s="14" t="s">
        <v>171</v>
      </c>
      <c r="E16" s="17" t="s">
        <v>165</v>
      </c>
      <c r="F16" s="15"/>
      <c r="G16" s="39"/>
      <c r="H16" s="41"/>
    </row>
    <row r="17" spans="1:8" x14ac:dyDescent="0.25">
      <c r="A17" s="9">
        <v>2</v>
      </c>
      <c r="B17" s="18" t="s">
        <v>158</v>
      </c>
      <c r="C17" s="10" t="s">
        <v>131</v>
      </c>
      <c r="D17" s="10" t="s">
        <v>132</v>
      </c>
      <c r="E17" s="10" t="s">
        <v>51</v>
      </c>
      <c r="F17" s="11" t="s">
        <v>51</v>
      </c>
      <c r="G17" s="10" t="s">
        <v>10</v>
      </c>
      <c r="H17" s="25">
        <f t="shared" ref="H17:H49" si="1">H$1*A17</f>
        <v>2</v>
      </c>
    </row>
    <row r="18" spans="1:8" x14ac:dyDescent="0.25">
      <c r="A18" s="13">
        <v>2</v>
      </c>
      <c r="B18" s="29" t="s">
        <v>160</v>
      </c>
      <c r="C18" s="14" t="s">
        <v>68</v>
      </c>
      <c r="D18" s="14" t="s">
        <v>67</v>
      </c>
      <c r="E18" s="14" t="s">
        <v>51</v>
      </c>
      <c r="F18" s="15" t="s">
        <v>51</v>
      </c>
      <c r="G18" s="14" t="s">
        <v>12</v>
      </c>
      <c r="H18" s="26">
        <f t="shared" si="1"/>
        <v>2</v>
      </c>
    </row>
    <row r="19" spans="1:8" x14ac:dyDescent="0.25">
      <c r="A19" s="13">
        <v>1</v>
      </c>
      <c r="B19" s="29" t="s">
        <v>136</v>
      </c>
      <c r="C19" s="14" t="s">
        <v>137</v>
      </c>
      <c r="D19" s="14" t="s">
        <v>67</v>
      </c>
      <c r="E19" s="14" t="s">
        <v>51</v>
      </c>
      <c r="F19" s="15" t="s">
        <v>51</v>
      </c>
      <c r="G19" s="14" t="s">
        <v>12</v>
      </c>
      <c r="H19" s="26">
        <f t="shared" si="1"/>
        <v>1</v>
      </c>
    </row>
    <row r="20" spans="1:8" x14ac:dyDescent="0.25">
      <c r="A20" s="9">
        <v>1</v>
      </c>
      <c r="B20" s="18" t="s">
        <v>102</v>
      </c>
      <c r="C20" s="10" t="s">
        <v>103</v>
      </c>
      <c r="D20" s="10" t="s">
        <v>59</v>
      </c>
      <c r="E20" s="10" t="s">
        <v>51</v>
      </c>
      <c r="F20" s="11" t="s">
        <v>51</v>
      </c>
      <c r="G20" s="10" t="s">
        <v>9</v>
      </c>
      <c r="H20" s="25">
        <f t="shared" si="1"/>
        <v>1</v>
      </c>
    </row>
    <row r="21" spans="1:8" ht="30" x14ac:dyDescent="0.25">
      <c r="A21" s="9">
        <v>2</v>
      </c>
      <c r="B21" s="18" t="s">
        <v>163</v>
      </c>
      <c r="C21" s="10" t="s">
        <v>79</v>
      </c>
      <c r="D21" s="10" t="s">
        <v>52</v>
      </c>
      <c r="E21" s="12" t="s">
        <v>54</v>
      </c>
      <c r="F21" s="11" t="s">
        <v>51</v>
      </c>
      <c r="G21" s="10" t="s">
        <v>9</v>
      </c>
      <c r="H21" s="25">
        <f t="shared" si="1"/>
        <v>2</v>
      </c>
    </row>
    <row r="22" spans="1:8" x14ac:dyDescent="0.25">
      <c r="A22" s="13">
        <v>1</v>
      </c>
      <c r="B22" s="29" t="s">
        <v>77</v>
      </c>
      <c r="C22" s="14" t="s">
        <v>78</v>
      </c>
      <c r="D22" s="27" t="s">
        <v>52</v>
      </c>
      <c r="E22" s="14" t="s">
        <v>51</v>
      </c>
      <c r="F22" s="15" t="s">
        <v>51</v>
      </c>
      <c r="G22" s="14" t="s">
        <v>8</v>
      </c>
      <c r="H22" s="26">
        <f t="shared" si="1"/>
        <v>1</v>
      </c>
    </row>
    <row r="23" spans="1:8" x14ac:dyDescent="0.25">
      <c r="A23" s="13">
        <v>3</v>
      </c>
      <c r="B23" s="29" t="s">
        <v>152</v>
      </c>
      <c r="C23" s="14" t="s">
        <v>82</v>
      </c>
      <c r="D23" s="14" t="s">
        <v>53</v>
      </c>
      <c r="E23" s="14" t="s">
        <v>51</v>
      </c>
      <c r="F23" s="15" t="s">
        <v>51</v>
      </c>
      <c r="G23" s="14" t="s">
        <v>8</v>
      </c>
      <c r="H23" s="26">
        <f t="shared" si="1"/>
        <v>3</v>
      </c>
    </row>
    <row r="24" spans="1:8" x14ac:dyDescent="0.25">
      <c r="A24" s="13">
        <v>1</v>
      </c>
      <c r="B24" s="29" t="s">
        <v>83</v>
      </c>
      <c r="C24" s="14" t="s">
        <v>84</v>
      </c>
      <c r="D24" s="14" t="s">
        <v>53</v>
      </c>
      <c r="E24" s="14" t="s">
        <v>51</v>
      </c>
      <c r="F24" s="15" t="s">
        <v>51</v>
      </c>
      <c r="G24" s="14" t="s">
        <v>8</v>
      </c>
      <c r="H24" s="26">
        <f t="shared" si="1"/>
        <v>1</v>
      </c>
    </row>
    <row r="25" spans="1:8" x14ac:dyDescent="0.25">
      <c r="A25" s="13">
        <v>2</v>
      </c>
      <c r="B25" s="29" t="s">
        <v>151</v>
      </c>
      <c r="C25" s="14" t="s">
        <v>81</v>
      </c>
      <c r="D25" s="14" t="s">
        <v>53</v>
      </c>
      <c r="E25" s="14" t="s">
        <v>51</v>
      </c>
      <c r="F25" s="15" t="s">
        <v>51</v>
      </c>
      <c r="G25" s="14" t="s">
        <v>8</v>
      </c>
      <c r="H25" s="26">
        <f t="shared" si="1"/>
        <v>2</v>
      </c>
    </row>
    <row r="26" spans="1:8" ht="120" x14ac:dyDescent="0.25">
      <c r="A26" s="13">
        <v>30</v>
      </c>
      <c r="B26" s="29" t="s">
        <v>149</v>
      </c>
      <c r="C26" s="14" t="s">
        <v>80</v>
      </c>
      <c r="D26" s="14" t="s">
        <v>53</v>
      </c>
      <c r="E26" s="14" t="s">
        <v>51</v>
      </c>
      <c r="F26" s="15" t="s">
        <v>51</v>
      </c>
      <c r="G26" s="14" t="s">
        <v>8</v>
      </c>
      <c r="H26" s="26">
        <f t="shared" si="1"/>
        <v>30</v>
      </c>
    </row>
    <row r="27" spans="1:8" x14ac:dyDescent="0.25">
      <c r="A27" s="13">
        <v>2</v>
      </c>
      <c r="B27" s="29" t="s">
        <v>173</v>
      </c>
      <c r="C27" s="14" t="s">
        <v>110</v>
      </c>
      <c r="D27" s="14" t="s">
        <v>60</v>
      </c>
      <c r="E27" s="14" t="s">
        <v>51</v>
      </c>
      <c r="F27" s="15" t="s">
        <v>51</v>
      </c>
      <c r="G27" s="14" t="s">
        <v>8</v>
      </c>
      <c r="H27" s="26">
        <f>H$1*A27</f>
        <v>2</v>
      </c>
    </row>
    <row r="28" spans="1:8" ht="30" x14ac:dyDescent="0.25">
      <c r="A28" s="9">
        <v>1</v>
      </c>
      <c r="B28" s="18" t="s">
        <v>98</v>
      </c>
      <c r="C28" s="10" t="s">
        <v>99</v>
      </c>
      <c r="D28" s="10" t="s">
        <v>53</v>
      </c>
      <c r="E28" s="12" t="s">
        <v>54</v>
      </c>
      <c r="F28" s="11" t="s">
        <v>51</v>
      </c>
      <c r="G28" s="10" t="s">
        <v>7</v>
      </c>
      <c r="H28" s="25">
        <f t="shared" si="1"/>
        <v>1</v>
      </c>
    </row>
    <row r="29" spans="1:8" ht="30" x14ac:dyDescent="0.25">
      <c r="A29" s="9">
        <v>4</v>
      </c>
      <c r="B29" s="18" t="s">
        <v>164</v>
      </c>
      <c r="C29" s="10" t="s">
        <v>97</v>
      </c>
      <c r="D29" s="10" t="s">
        <v>53</v>
      </c>
      <c r="E29" s="12" t="s">
        <v>54</v>
      </c>
      <c r="F29" s="11" t="s">
        <v>51</v>
      </c>
      <c r="G29" s="10" t="s">
        <v>7</v>
      </c>
      <c r="H29" s="25">
        <f t="shared" si="1"/>
        <v>4</v>
      </c>
    </row>
    <row r="30" spans="1:8" x14ac:dyDescent="0.25">
      <c r="A30" s="9">
        <v>1</v>
      </c>
      <c r="B30" s="18" t="s">
        <v>89</v>
      </c>
      <c r="C30" s="10" t="s">
        <v>90</v>
      </c>
      <c r="D30" s="10" t="s">
        <v>53</v>
      </c>
      <c r="E30" s="10" t="s">
        <v>51</v>
      </c>
      <c r="F30" s="11" t="s">
        <v>51</v>
      </c>
      <c r="G30" s="10" t="s">
        <v>7</v>
      </c>
      <c r="H30" s="25">
        <f t="shared" si="1"/>
        <v>1</v>
      </c>
    </row>
    <row r="31" spans="1:8" x14ac:dyDescent="0.25">
      <c r="A31" s="9">
        <v>1</v>
      </c>
      <c r="B31" s="18" t="s">
        <v>76</v>
      </c>
      <c r="C31" s="10" t="s">
        <v>58</v>
      </c>
      <c r="D31" s="10" t="s">
        <v>57</v>
      </c>
      <c r="E31" s="10" t="s">
        <v>51</v>
      </c>
      <c r="F31" s="11" t="s">
        <v>51</v>
      </c>
      <c r="G31" s="10" t="s">
        <v>7</v>
      </c>
      <c r="H31" s="25">
        <f t="shared" si="1"/>
        <v>1</v>
      </c>
    </row>
    <row r="32" spans="1:8" x14ac:dyDescent="0.25">
      <c r="A32" s="9">
        <v>2</v>
      </c>
      <c r="B32" s="18" t="s">
        <v>157</v>
      </c>
      <c r="C32" s="10" t="s">
        <v>100</v>
      </c>
      <c r="D32" s="10" t="s">
        <v>57</v>
      </c>
      <c r="E32" s="10" t="s">
        <v>51</v>
      </c>
      <c r="F32" s="11" t="s">
        <v>51</v>
      </c>
      <c r="G32" s="10" t="s">
        <v>7</v>
      </c>
      <c r="H32" s="25">
        <f t="shared" si="1"/>
        <v>2</v>
      </c>
    </row>
    <row r="33" spans="1:8" x14ac:dyDescent="0.25">
      <c r="A33" s="9">
        <v>2</v>
      </c>
      <c r="B33" s="18" t="s">
        <v>74</v>
      </c>
      <c r="C33" s="10" t="s">
        <v>101</v>
      </c>
      <c r="D33" s="10" t="s">
        <v>57</v>
      </c>
      <c r="E33" s="10" t="s">
        <v>51</v>
      </c>
      <c r="F33" s="11" t="s">
        <v>51</v>
      </c>
      <c r="G33" s="10" t="s">
        <v>7</v>
      </c>
      <c r="H33" s="25">
        <f t="shared" si="1"/>
        <v>2</v>
      </c>
    </row>
    <row r="34" spans="1:8" x14ac:dyDescent="0.25">
      <c r="A34" s="9">
        <v>1</v>
      </c>
      <c r="B34" s="18" t="s">
        <v>85</v>
      </c>
      <c r="C34" s="10" t="s">
        <v>86</v>
      </c>
      <c r="D34" s="10" t="s">
        <v>53</v>
      </c>
      <c r="E34" s="10" t="s">
        <v>51</v>
      </c>
      <c r="F34" s="11" t="s">
        <v>51</v>
      </c>
      <c r="G34" s="10" t="s">
        <v>7</v>
      </c>
      <c r="H34" s="25">
        <f t="shared" si="1"/>
        <v>1</v>
      </c>
    </row>
    <row r="35" spans="1:8" x14ac:dyDescent="0.25">
      <c r="A35" s="9">
        <v>2</v>
      </c>
      <c r="B35" s="18" t="s">
        <v>156</v>
      </c>
      <c r="C35" s="10" t="s">
        <v>86</v>
      </c>
      <c r="D35" s="10" t="s">
        <v>59</v>
      </c>
      <c r="E35" s="10" t="s">
        <v>51</v>
      </c>
      <c r="F35" s="11" t="s">
        <v>51</v>
      </c>
      <c r="G35" s="10" t="s">
        <v>7</v>
      </c>
      <c r="H35" s="25">
        <f t="shared" si="1"/>
        <v>2</v>
      </c>
    </row>
    <row r="36" spans="1:8" x14ac:dyDescent="0.25">
      <c r="A36" s="9">
        <v>1</v>
      </c>
      <c r="B36" s="18" t="s">
        <v>93</v>
      </c>
      <c r="C36" s="10" t="s">
        <v>94</v>
      </c>
      <c r="D36" s="10" t="s">
        <v>53</v>
      </c>
      <c r="E36" s="10" t="s">
        <v>51</v>
      </c>
      <c r="F36" s="11" t="s">
        <v>51</v>
      </c>
      <c r="G36" s="10" t="s">
        <v>7</v>
      </c>
      <c r="H36" s="25">
        <f t="shared" si="1"/>
        <v>1</v>
      </c>
    </row>
    <row r="37" spans="1:8" x14ac:dyDescent="0.25">
      <c r="A37" s="9">
        <v>1</v>
      </c>
      <c r="B37" s="18" t="s">
        <v>95</v>
      </c>
      <c r="C37" s="10" t="s">
        <v>96</v>
      </c>
      <c r="D37" s="10" t="s">
        <v>53</v>
      </c>
      <c r="E37" s="10" t="s">
        <v>51</v>
      </c>
      <c r="F37" s="11" t="s">
        <v>51</v>
      </c>
      <c r="G37" s="10" t="s">
        <v>7</v>
      </c>
      <c r="H37" s="25">
        <f t="shared" si="1"/>
        <v>1</v>
      </c>
    </row>
    <row r="38" spans="1:8" ht="30" x14ac:dyDescent="0.25">
      <c r="A38" s="9">
        <v>6</v>
      </c>
      <c r="B38" s="18" t="s">
        <v>153</v>
      </c>
      <c r="C38" s="10" t="s">
        <v>55</v>
      </c>
      <c r="D38" s="10" t="s">
        <v>53</v>
      </c>
      <c r="E38" s="10" t="s">
        <v>51</v>
      </c>
      <c r="F38" s="11" t="s">
        <v>51</v>
      </c>
      <c r="G38" s="10" t="s">
        <v>7</v>
      </c>
      <c r="H38" s="25">
        <f t="shared" si="1"/>
        <v>6</v>
      </c>
    </row>
    <row r="39" spans="1:8" x14ac:dyDescent="0.25">
      <c r="A39" s="9">
        <v>3</v>
      </c>
      <c r="B39" s="18" t="s">
        <v>154</v>
      </c>
      <c r="C39" s="10" t="s">
        <v>56</v>
      </c>
      <c r="D39" s="10" t="s">
        <v>53</v>
      </c>
      <c r="E39" s="10" t="s">
        <v>51</v>
      </c>
      <c r="F39" s="11" t="s">
        <v>51</v>
      </c>
      <c r="G39" s="10" t="s">
        <v>7</v>
      </c>
      <c r="H39" s="25">
        <f t="shared" si="1"/>
        <v>3</v>
      </c>
    </row>
    <row r="40" spans="1:8" x14ac:dyDescent="0.25">
      <c r="A40" s="9">
        <v>1</v>
      </c>
      <c r="B40" s="18" t="s">
        <v>175</v>
      </c>
      <c r="C40" s="10" t="s">
        <v>88</v>
      </c>
      <c r="D40" s="10" t="s">
        <v>53</v>
      </c>
      <c r="E40" s="10" t="s">
        <v>51</v>
      </c>
      <c r="F40" s="11" t="s">
        <v>51</v>
      </c>
      <c r="G40" s="10" t="s">
        <v>7</v>
      </c>
      <c r="H40" s="25">
        <f t="shared" ref="H40" si="2">H$1*A40</f>
        <v>1</v>
      </c>
    </row>
    <row r="41" spans="1:8" x14ac:dyDescent="0.25">
      <c r="A41" s="9">
        <v>1</v>
      </c>
      <c r="B41" s="18" t="s">
        <v>104</v>
      </c>
      <c r="C41" s="10" t="s">
        <v>105</v>
      </c>
      <c r="D41" s="10" t="s">
        <v>59</v>
      </c>
      <c r="E41" s="10" t="s">
        <v>51</v>
      </c>
      <c r="F41" s="11" t="s">
        <v>51</v>
      </c>
      <c r="G41" s="10" t="s">
        <v>7</v>
      </c>
      <c r="H41" s="25">
        <f t="shared" si="1"/>
        <v>1</v>
      </c>
    </row>
    <row r="42" spans="1:8" ht="30" x14ac:dyDescent="0.25">
      <c r="A42" s="9">
        <v>8</v>
      </c>
      <c r="B42" s="18" t="s">
        <v>150</v>
      </c>
      <c r="C42" s="10" t="s">
        <v>91</v>
      </c>
      <c r="D42" s="10" t="s">
        <v>53</v>
      </c>
      <c r="E42" s="10" t="s">
        <v>51</v>
      </c>
      <c r="F42" s="11" t="s">
        <v>51</v>
      </c>
      <c r="G42" s="10" t="s">
        <v>7</v>
      </c>
      <c r="H42" s="25">
        <f t="shared" si="1"/>
        <v>8</v>
      </c>
    </row>
    <row r="43" spans="1:8" x14ac:dyDescent="0.25">
      <c r="A43" s="9">
        <v>1</v>
      </c>
      <c r="B43" s="18" t="s">
        <v>87</v>
      </c>
      <c r="C43" s="10" t="s">
        <v>88</v>
      </c>
      <c r="D43" s="10" t="s">
        <v>53</v>
      </c>
      <c r="E43" s="10" t="s">
        <v>51</v>
      </c>
      <c r="F43" s="11" t="s">
        <v>51</v>
      </c>
      <c r="G43" s="10" t="s">
        <v>7</v>
      </c>
      <c r="H43" s="25">
        <f t="shared" si="1"/>
        <v>1</v>
      </c>
    </row>
    <row r="44" spans="1:8" x14ac:dyDescent="0.25">
      <c r="A44" s="9">
        <v>1</v>
      </c>
      <c r="B44" s="18" t="s">
        <v>106</v>
      </c>
      <c r="C44" s="10" t="s">
        <v>107</v>
      </c>
      <c r="D44" s="10" t="s">
        <v>59</v>
      </c>
      <c r="E44" s="10" t="s">
        <v>51</v>
      </c>
      <c r="F44" s="11" t="s">
        <v>51</v>
      </c>
      <c r="G44" s="10" t="s">
        <v>7</v>
      </c>
      <c r="H44" s="25">
        <f t="shared" si="1"/>
        <v>1</v>
      </c>
    </row>
    <row r="45" spans="1:8" x14ac:dyDescent="0.25">
      <c r="A45" s="9">
        <v>5</v>
      </c>
      <c r="B45" s="18" t="s">
        <v>155</v>
      </c>
      <c r="C45" s="10" t="s">
        <v>92</v>
      </c>
      <c r="D45" s="10" t="s">
        <v>53</v>
      </c>
      <c r="E45" s="10" t="s">
        <v>51</v>
      </c>
      <c r="F45" s="11" t="s">
        <v>51</v>
      </c>
      <c r="G45" s="10" t="s">
        <v>7</v>
      </c>
      <c r="H45" s="25">
        <f t="shared" si="1"/>
        <v>5</v>
      </c>
    </row>
    <row r="46" spans="1:8" ht="30" x14ac:dyDescent="0.25">
      <c r="A46" s="13">
        <v>1</v>
      </c>
      <c r="B46" s="29" t="s">
        <v>108</v>
      </c>
      <c r="C46" s="14" t="s">
        <v>170</v>
      </c>
      <c r="D46" s="14" t="s">
        <v>51</v>
      </c>
      <c r="E46" s="14" t="s">
        <v>51</v>
      </c>
      <c r="F46" s="15" t="s">
        <v>109</v>
      </c>
      <c r="G46" s="14" t="s">
        <v>14</v>
      </c>
      <c r="H46" s="26">
        <f t="shared" si="1"/>
        <v>1</v>
      </c>
    </row>
    <row r="47" spans="1:8" x14ac:dyDescent="0.25">
      <c r="A47" s="9">
        <v>1</v>
      </c>
      <c r="B47" s="18" t="s">
        <v>139</v>
      </c>
      <c r="C47" s="10" t="s">
        <v>140</v>
      </c>
      <c r="D47" s="10" t="s">
        <v>51</v>
      </c>
      <c r="E47" s="10" t="s">
        <v>51</v>
      </c>
      <c r="F47" s="11" t="s">
        <v>51</v>
      </c>
      <c r="G47" s="10" t="s">
        <v>11</v>
      </c>
      <c r="H47" s="25">
        <f t="shared" si="1"/>
        <v>1</v>
      </c>
    </row>
    <row r="48" spans="1:8" x14ac:dyDescent="0.25">
      <c r="A48" s="9">
        <v>1</v>
      </c>
      <c r="B48" s="18" t="s">
        <v>69</v>
      </c>
      <c r="C48" s="10" t="s">
        <v>138</v>
      </c>
      <c r="D48" s="10" t="s">
        <v>51</v>
      </c>
      <c r="E48" s="10" t="s">
        <v>51</v>
      </c>
      <c r="F48" s="11" t="s">
        <v>51</v>
      </c>
      <c r="G48" s="10" t="s">
        <v>11</v>
      </c>
      <c r="H48" s="25">
        <f t="shared" si="1"/>
        <v>1</v>
      </c>
    </row>
    <row r="49" spans="1:8" ht="30" customHeight="1" x14ac:dyDescent="0.25">
      <c r="A49" s="44">
        <v>1</v>
      </c>
      <c r="B49" s="46" t="s">
        <v>71</v>
      </c>
      <c r="C49" s="10" t="s">
        <v>145</v>
      </c>
      <c r="D49" s="51" t="s">
        <v>51</v>
      </c>
      <c r="E49" s="49"/>
      <c r="F49" s="19" t="s">
        <v>169</v>
      </c>
      <c r="G49" s="30" t="s">
        <v>11</v>
      </c>
      <c r="H49" s="32">
        <f t="shared" si="1"/>
        <v>1</v>
      </c>
    </row>
    <row r="50" spans="1:8" ht="30" x14ac:dyDescent="0.25">
      <c r="A50" s="45"/>
      <c r="B50" s="47"/>
      <c r="C50" s="10" t="s">
        <v>167</v>
      </c>
      <c r="D50" s="10"/>
      <c r="E50" s="50" t="s">
        <v>146</v>
      </c>
      <c r="F50" s="19" t="s">
        <v>168</v>
      </c>
      <c r="G50" s="31"/>
      <c r="H50" s="33"/>
    </row>
    <row r="51" spans="1:8" x14ac:dyDescent="0.25">
      <c r="A51" s="9">
        <v>1</v>
      </c>
      <c r="B51" s="18" t="s">
        <v>65</v>
      </c>
      <c r="C51" s="10" t="s">
        <v>70</v>
      </c>
      <c r="D51" s="10" t="s">
        <v>51</v>
      </c>
      <c r="E51" s="10" t="s">
        <v>51</v>
      </c>
      <c r="F51" s="11" t="s">
        <v>51</v>
      </c>
      <c r="G51" s="10" t="s">
        <v>11</v>
      </c>
      <c r="H51" s="25">
        <f>H$1*A51</f>
        <v>1</v>
      </c>
    </row>
    <row r="52" spans="1:8" x14ac:dyDescent="0.25">
      <c r="A52" s="9">
        <v>1</v>
      </c>
      <c r="B52" s="18" t="s">
        <v>141</v>
      </c>
      <c r="C52" s="10" t="s">
        <v>142</v>
      </c>
      <c r="D52" s="10" t="s">
        <v>51</v>
      </c>
      <c r="E52" s="10" t="s">
        <v>51</v>
      </c>
      <c r="F52" s="11" t="s">
        <v>51</v>
      </c>
      <c r="G52" s="10" t="s">
        <v>11</v>
      </c>
      <c r="H52" s="25">
        <f>H$1*A52</f>
        <v>1</v>
      </c>
    </row>
    <row r="53" spans="1:8" x14ac:dyDescent="0.25">
      <c r="A53" s="9">
        <v>1</v>
      </c>
      <c r="B53" s="18" t="s">
        <v>75</v>
      </c>
      <c r="C53" s="10" t="s">
        <v>143</v>
      </c>
      <c r="D53" s="10" t="s">
        <v>51</v>
      </c>
      <c r="E53" s="10" t="s">
        <v>51</v>
      </c>
      <c r="F53" s="11" t="s">
        <v>51</v>
      </c>
      <c r="G53" s="10" t="s">
        <v>11</v>
      </c>
      <c r="H53" s="25">
        <f>H$1*A53</f>
        <v>1</v>
      </c>
    </row>
    <row r="54" spans="1:8" x14ac:dyDescent="0.25">
      <c r="A54" s="9">
        <v>2</v>
      </c>
      <c r="B54" s="18" t="s">
        <v>147</v>
      </c>
      <c r="C54" s="10" t="s">
        <v>144</v>
      </c>
      <c r="D54" s="10" t="s">
        <v>51</v>
      </c>
      <c r="E54" s="10" t="s">
        <v>51</v>
      </c>
      <c r="F54" s="11" t="s">
        <v>51</v>
      </c>
      <c r="G54" s="10" t="s">
        <v>11</v>
      </c>
      <c r="H54" s="25">
        <f>H$1*A54</f>
        <v>2</v>
      </c>
    </row>
    <row r="55" spans="1:8" x14ac:dyDescent="0.25">
      <c r="C55" s="6"/>
      <c r="F55" s="6"/>
    </row>
    <row r="56" spans="1:8" x14ac:dyDescent="0.25">
      <c r="C56" s="6"/>
      <c r="F56" s="6"/>
    </row>
    <row r="57" spans="1:8" x14ac:dyDescent="0.25">
      <c r="C57" s="6"/>
      <c r="F57" s="6"/>
    </row>
    <row r="58" spans="1:8" x14ac:dyDescent="0.25">
      <c r="C58" s="6"/>
      <c r="F58" s="6"/>
    </row>
    <row r="59" spans="1:8" x14ac:dyDescent="0.25">
      <c r="C59" s="6"/>
      <c r="F59" s="6"/>
    </row>
    <row r="60" spans="1:8" x14ac:dyDescent="0.25">
      <c r="C60" s="6"/>
      <c r="F60" s="6"/>
    </row>
    <row r="61" spans="1:8" x14ac:dyDescent="0.25">
      <c r="C61" s="6"/>
      <c r="F61" s="6"/>
    </row>
    <row r="62" spans="1:8" x14ac:dyDescent="0.25">
      <c r="C62" s="6"/>
      <c r="F62" s="6"/>
    </row>
    <row r="63" spans="1:8" x14ac:dyDescent="0.25">
      <c r="C63" s="6"/>
      <c r="F63" s="6"/>
    </row>
    <row r="64" spans="1:8" x14ac:dyDescent="0.25">
      <c r="C64" s="6"/>
      <c r="F64" s="6"/>
    </row>
    <row r="65" spans="3:6" x14ac:dyDescent="0.25">
      <c r="C65" s="6"/>
      <c r="F65" s="6"/>
    </row>
    <row r="66" spans="3:6" x14ac:dyDescent="0.25">
      <c r="C66" s="6"/>
      <c r="F66" s="6"/>
    </row>
    <row r="67" spans="3:6" x14ac:dyDescent="0.25">
      <c r="C67" s="6"/>
      <c r="F67" s="6"/>
    </row>
    <row r="68" spans="3:6" x14ac:dyDescent="0.25">
      <c r="C68" s="6"/>
      <c r="F68" s="6"/>
    </row>
    <row r="69" spans="3:6" x14ac:dyDescent="0.25">
      <c r="C69" s="6"/>
      <c r="F69" s="6"/>
    </row>
    <row r="70" spans="3:6" x14ac:dyDescent="0.25">
      <c r="C70" s="6"/>
      <c r="F70" s="6"/>
    </row>
    <row r="71" spans="3:6" x14ac:dyDescent="0.25">
      <c r="C71" s="6"/>
      <c r="F71" s="6"/>
    </row>
    <row r="72" spans="3:6" x14ac:dyDescent="0.25">
      <c r="C72" s="6"/>
      <c r="F72" s="6"/>
    </row>
    <row r="73" spans="3:6" x14ac:dyDescent="0.25">
      <c r="C73" s="6"/>
      <c r="F73" s="6"/>
    </row>
    <row r="74" spans="3:6" x14ac:dyDescent="0.25">
      <c r="C74" s="6"/>
      <c r="F74" s="6"/>
    </row>
    <row r="75" spans="3:6" x14ac:dyDescent="0.25">
      <c r="C75" s="6"/>
      <c r="F75" s="6"/>
    </row>
    <row r="76" spans="3:6" x14ac:dyDescent="0.25">
      <c r="C76" s="6"/>
      <c r="F76" s="6"/>
    </row>
    <row r="77" spans="3:6" x14ac:dyDescent="0.25">
      <c r="C77" s="6"/>
      <c r="F77" s="6"/>
    </row>
    <row r="78" spans="3:6" x14ac:dyDescent="0.25">
      <c r="C78" s="6"/>
      <c r="F78" s="6"/>
    </row>
    <row r="79" spans="3:6" x14ac:dyDescent="0.25">
      <c r="C79" s="6"/>
      <c r="F79" s="6"/>
    </row>
    <row r="80" spans="3:6" x14ac:dyDescent="0.25">
      <c r="C80" s="6"/>
      <c r="F80" s="6"/>
    </row>
    <row r="81" spans="3:6" x14ac:dyDescent="0.25">
      <c r="C81" s="6"/>
      <c r="F81" s="6"/>
    </row>
    <row r="82" spans="3:6" x14ac:dyDescent="0.25">
      <c r="C82" s="6"/>
      <c r="F82" s="6"/>
    </row>
    <row r="83" spans="3:6" x14ac:dyDescent="0.25">
      <c r="C83" s="6"/>
      <c r="F83" s="6"/>
    </row>
    <row r="84" spans="3:6" x14ac:dyDescent="0.25">
      <c r="C84" s="6"/>
      <c r="F84" s="6"/>
    </row>
    <row r="85" spans="3:6" x14ac:dyDescent="0.25">
      <c r="C85" s="6"/>
      <c r="F85" s="6"/>
    </row>
    <row r="86" spans="3:6" x14ac:dyDescent="0.25">
      <c r="C86" s="6"/>
      <c r="F86" s="6"/>
    </row>
    <row r="87" spans="3:6" x14ac:dyDescent="0.25">
      <c r="C87" s="6"/>
      <c r="F87" s="6"/>
    </row>
    <row r="88" spans="3:6" x14ac:dyDescent="0.25">
      <c r="C88" s="6"/>
      <c r="F88" s="6"/>
    </row>
    <row r="89" spans="3:6" x14ac:dyDescent="0.25">
      <c r="C89" s="6"/>
      <c r="F89" s="6"/>
    </row>
    <row r="90" spans="3:6" x14ac:dyDescent="0.25">
      <c r="C90" s="6"/>
      <c r="F90" s="6"/>
    </row>
    <row r="91" spans="3:6" x14ac:dyDescent="0.25">
      <c r="C91" s="6"/>
      <c r="F91" s="6"/>
    </row>
    <row r="92" spans="3:6" x14ac:dyDescent="0.25">
      <c r="C92" s="6"/>
      <c r="F92" s="6"/>
    </row>
    <row r="93" spans="3:6" x14ac:dyDescent="0.25">
      <c r="C93" s="6"/>
      <c r="F93" s="6"/>
    </row>
    <row r="94" spans="3:6" x14ac:dyDescent="0.25">
      <c r="C94" s="6"/>
      <c r="F94" s="6"/>
    </row>
    <row r="95" spans="3:6" x14ac:dyDescent="0.25">
      <c r="C95" s="6"/>
      <c r="F95" s="6"/>
    </row>
    <row r="96" spans="3:6" x14ac:dyDescent="0.25">
      <c r="C96" s="6"/>
      <c r="F96" s="6"/>
    </row>
    <row r="97" spans="3:6" x14ac:dyDescent="0.25">
      <c r="C97" s="6"/>
      <c r="F97" s="6"/>
    </row>
    <row r="98" spans="3:6" x14ac:dyDescent="0.25">
      <c r="C98" s="6"/>
      <c r="F98" s="6"/>
    </row>
    <row r="99" spans="3:6" x14ac:dyDescent="0.25">
      <c r="C99" s="6"/>
      <c r="F99" s="6"/>
    </row>
    <row r="100" spans="3:6" x14ac:dyDescent="0.25">
      <c r="C100" s="6"/>
      <c r="F100" s="6"/>
    </row>
    <row r="101" spans="3:6" x14ac:dyDescent="0.25">
      <c r="C101" s="6"/>
      <c r="F101" s="6"/>
    </row>
    <row r="102" spans="3:6" x14ac:dyDescent="0.25">
      <c r="C102" s="6"/>
      <c r="F102" s="6"/>
    </row>
    <row r="103" spans="3:6" x14ac:dyDescent="0.25">
      <c r="C103" s="6"/>
      <c r="F103" s="6"/>
    </row>
    <row r="104" spans="3:6" x14ac:dyDescent="0.25">
      <c r="C104" s="6"/>
      <c r="F104" s="6"/>
    </row>
    <row r="105" spans="3:6" x14ac:dyDescent="0.25">
      <c r="C105" s="6"/>
      <c r="F105" s="6"/>
    </row>
    <row r="106" spans="3:6" x14ac:dyDescent="0.25">
      <c r="C106" s="6"/>
      <c r="F106" s="6"/>
    </row>
    <row r="107" spans="3:6" x14ac:dyDescent="0.25">
      <c r="C107" s="6"/>
      <c r="F107" s="6"/>
    </row>
    <row r="108" spans="3:6" x14ac:dyDescent="0.25">
      <c r="C108" s="6"/>
      <c r="F108" s="6"/>
    </row>
    <row r="109" spans="3:6" x14ac:dyDescent="0.25">
      <c r="C109" s="6"/>
      <c r="F109" s="6"/>
    </row>
    <row r="110" spans="3:6" x14ac:dyDescent="0.25">
      <c r="C110" s="6"/>
      <c r="F110" s="6"/>
    </row>
    <row r="111" spans="3:6" x14ac:dyDescent="0.25">
      <c r="C111" s="6"/>
      <c r="F111" s="6"/>
    </row>
    <row r="112" spans="3:6" x14ac:dyDescent="0.25">
      <c r="C112" s="6"/>
      <c r="F112" s="6"/>
    </row>
    <row r="113" spans="3:6" x14ac:dyDescent="0.25">
      <c r="C113" s="6"/>
      <c r="F113" s="6"/>
    </row>
    <row r="114" spans="3:6" x14ac:dyDescent="0.25">
      <c r="C114" s="6"/>
      <c r="F114" s="6"/>
    </row>
    <row r="115" spans="3:6" x14ac:dyDescent="0.25">
      <c r="C115" s="6"/>
      <c r="F115" s="6"/>
    </row>
    <row r="116" spans="3:6" x14ac:dyDescent="0.25">
      <c r="C116" s="6"/>
      <c r="F116" s="6"/>
    </row>
    <row r="117" spans="3:6" x14ac:dyDescent="0.25">
      <c r="C117" s="6"/>
      <c r="F117" s="6"/>
    </row>
    <row r="118" spans="3:6" x14ac:dyDescent="0.25">
      <c r="C118" s="6"/>
      <c r="F118" s="6"/>
    </row>
    <row r="119" spans="3:6" x14ac:dyDescent="0.25">
      <c r="C119" s="6"/>
      <c r="F119" s="6"/>
    </row>
    <row r="120" spans="3:6" x14ac:dyDescent="0.25">
      <c r="C120" s="6"/>
      <c r="F120" s="6"/>
    </row>
    <row r="121" spans="3:6" x14ac:dyDescent="0.25">
      <c r="C121" s="6"/>
      <c r="F121" s="6"/>
    </row>
    <row r="122" spans="3:6" x14ac:dyDescent="0.25">
      <c r="C122" s="6"/>
      <c r="F122" s="6"/>
    </row>
    <row r="123" spans="3:6" x14ac:dyDescent="0.25">
      <c r="C123" s="6"/>
      <c r="F123" s="6"/>
    </row>
    <row r="124" spans="3:6" x14ac:dyDescent="0.25">
      <c r="C124" s="6"/>
      <c r="F124" s="6"/>
    </row>
    <row r="125" spans="3:6" x14ac:dyDescent="0.25">
      <c r="C125" s="6"/>
      <c r="F125" s="6"/>
    </row>
    <row r="126" spans="3:6" x14ac:dyDescent="0.25">
      <c r="C126" s="6"/>
      <c r="F126" s="6"/>
    </row>
    <row r="127" spans="3:6" x14ac:dyDescent="0.25">
      <c r="C127" s="6"/>
      <c r="F127" s="6"/>
    </row>
    <row r="128" spans="3:6" x14ac:dyDescent="0.25">
      <c r="C128" s="6"/>
      <c r="F128" s="6"/>
    </row>
    <row r="129" spans="3:6" x14ac:dyDescent="0.25">
      <c r="C129" s="6"/>
      <c r="F129" s="6"/>
    </row>
    <row r="130" spans="3:6" x14ac:dyDescent="0.25">
      <c r="C130" s="6"/>
      <c r="F130" s="6"/>
    </row>
    <row r="131" spans="3:6" x14ac:dyDescent="0.25">
      <c r="C131" s="6"/>
      <c r="F131" s="6"/>
    </row>
    <row r="132" spans="3:6" x14ac:dyDescent="0.25">
      <c r="C132" s="6"/>
      <c r="F132" s="6"/>
    </row>
    <row r="133" spans="3:6" x14ac:dyDescent="0.25">
      <c r="C133" s="6"/>
      <c r="F133" s="6"/>
    </row>
    <row r="134" spans="3:6" x14ac:dyDescent="0.25">
      <c r="C134" s="6"/>
      <c r="F134" s="6"/>
    </row>
    <row r="135" spans="3:6" x14ac:dyDescent="0.25">
      <c r="C135" s="6"/>
      <c r="F135" s="6"/>
    </row>
    <row r="136" spans="3:6" x14ac:dyDescent="0.25">
      <c r="C136" s="6"/>
      <c r="F136" s="6"/>
    </row>
    <row r="137" spans="3:6" x14ac:dyDescent="0.25">
      <c r="C137" s="6"/>
      <c r="F137" s="6"/>
    </row>
    <row r="138" spans="3:6" x14ac:dyDescent="0.25">
      <c r="C138" s="6"/>
      <c r="F138" s="6"/>
    </row>
    <row r="139" spans="3:6" x14ac:dyDescent="0.25">
      <c r="C139" s="6"/>
      <c r="F139" s="6"/>
    </row>
    <row r="140" spans="3:6" x14ac:dyDescent="0.25">
      <c r="C140" s="6"/>
      <c r="F140" s="6"/>
    </row>
    <row r="141" spans="3:6" x14ac:dyDescent="0.25">
      <c r="C141" s="6"/>
      <c r="F141" s="6"/>
    </row>
    <row r="142" spans="3:6" x14ac:dyDescent="0.25">
      <c r="C142" s="6"/>
      <c r="F142" s="6"/>
    </row>
    <row r="143" spans="3:6" x14ac:dyDescent="0.25">
      <c r="C143" s="6"/>
      <c r="F143" s="6"/>
    </row>
    <row r="144" spans="3:6" x14ac:dyDescent="0.25">
      <c r="C144" s="6"/>
      <c r="F144" s="6"/>
    </row>
    <row r="145" spans="3:6" x14ac:dyDescent="0.25">
      <c r="C145" s="6"/>
      <c r="F145" s="6"/>
    </row>
    <row r="146" spans="3:6" x14ac:dyDescent="0.25">
      <c r="C146" s="6"/>
      <c r="F146" s="6"/>
    </row>
    <row r="147" spans="3:6" x14ac:dyDescent="0.25">
      <c r="C147" s="6"/>
      <c r="F147" s="6"/>
    </row>
    <row r="148" spans="3:6" x14ac:dyDescent="0.25">
      <c r="C148" s="6"/>
      <c r="F148" s="6"/>
    </row>
    <row r="149" spans="3:6" x14ac:dyDescent="0.25">
      <c r="C149" s="6"/>
      <c r="F149" s="6"/>
    </row>
    <row r="150" spans="3:6" x14ac:dyDescent="0.25">
      <c r="C150" s="6"/>
      <c r="F150" s="6"/>
    </row>
    <row r="151" spans="3:6" x14ac:dyDescent="0.25">
      <c r="C151" s="6"/>
      <c r="F151" s="6"/>
    </row>
    <row r="152" spans="3:6" x14ac:dyDescent="0.25">
      <c r="C152" s="6"/>
      <c r="F152" s="6"/>
    </row>
    <row r="153" spans="3:6" x14ac:dyDescent="0.25">
      <c r="C153" s="6"/>
      <c r="F153" s="6"/>
    </row>
    <row r="154" spans="3:6" x14ac:dyDescent="0.25">
      <c r="C154" s="6"/>
      <c r="F154" s="6"/>
    </row>
    <row r="155" spans="3:6" x14ac:dyDescent="0.25">
      <c r="C155" s="6"/>
      <c r="F155" s="6"/>
    </row>
    <row r="156" spans="3:6" x14ac:dyDescent="0.25">
      <c r="C156" s="6"/>
      <c r="F156" s="6"/>
    </row>
    <row r="157" spans="3:6" x14ac:dyDescent="0.25">
      <c r="C157" s="6"/>
      <c r="F157" s="6"/>
    </row>
    <row r="158" spans="3:6" x14ac:dyDescent="0.25">
      <c r="C158" s="6"/>
      <c r="F158" s="6"/>
    </row>
    <row r="159" spans="3:6" x14ac:dyDescent="0.25">
      <c r="C159" s="6"/>
      <c r="F159" s="6"/>
    </row>
    <row r="160" spans="3:6" x14ac:dyDescent="0.25">
      <c r="C160" s="6"/>
      <c r="F160" s="6"/>
    </row>
    <row r="161" spans="3:6" x14ac:dyDescent="0.25">
      <c r="C161" s="6"/>
      <c r="F161" s="6"/>
    </row>
    <row r="162" spans="3:6" x14ac:dyDescent="0.25">
      <c r="C162" s="6"/>
      <c r="F162" s="6"/>
    </row>
    <row r="163" spans="3:6" x14ac:dyDescent="0.25">
      <c r="C163" s="6"/>
      <c r="F163" s="6"/>
    </row>
    <row r="164" spans="3:6" x14ac:dyDescent="0.25">
      <c r="C164" s="6"/>
      <c r="F164" s="6"/>
    </row>
    <row r="165" spans="3:6" x14ac:dyDescent="0.25">
      <c r="C165" s="6"/>
      <c r="F165" s="6"/>
    </row>
  </sheetData>
  <sortState ref="A4:I1000">
    <sortCondition ref="H4"/>
    <sortCondition ref="I4"/>
    <sortCondition ref="C4"/>
  </sortState>
  <mergeCells count="9">
    <mergeCell ref="A1:D1"/>
    <mergeCell ref="A49:A50"/>
    <mergeCell ref="B49:B50"/>
    <mergeCell ref="G49:G50"/>
    <mergeCell ref="H49:H50"/>
    <mergeCell ref="A15:A16"/>
    <mergeCell ref="B15:B16"/>
    <mergeCell ref="G15:G16"/>
    <mergeCell ref="H15:H16"/>
  </mergeCells>
  <pageMargins left="0.7" right="0.7" top="0.75" bottom="0.75" header="0.3" footer="0.3"/>
  <pageSetup paperSize="9" scale="62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23"/>
  <sheetViews>
    <sheetView workbookViewId="0">
      <selection sqref="A1:E1"/>
    </sheetView>
  </sheetViews>
  <sheetFormatPr defaultRowHeight="15" x14ac:dyDescent="0.25"/>
  <cols>
    <col min="1" max="1" width="4.5703125" customWidth="1"/>
    <col min="2" max="2" width="19.85546875" customWidth="1"/>
    <col min="3" max="3" width="16.140625" customWidth="1"/>
    <col min="5" max="5" width="18.85546875" customWidth="1"/>
    <col min="6" max="6" width="12.7109375" customWidth="1"/>
    <col min="7" max="7" width="18.7109375" customWidth="1"/>
  </cols>
  <sheetData>
    <row r="1" spans="1:5" x14ac:dyDescent="0.25">
      <c r="A1" s="48" t="s">
        <v>48</v>
      </c>
      <c r="B1" s="48"/>
      <c r="C1" s="48"/>
      <c r="D1" s="48"/>
      <c r="E1" s="48"/>
    </row>
    <row r="3" spans="1:5" x14ac:dyDescent="0.25">
      <c r="A3" s="7" t="s">
        <v>47</v>
      </c>
      <c r="B3" s="3" t="s">
        <v>5</v>
      </c>
      <c r="C3" s="3" t="s">
        <v>1</v>
      </c>
    </row>
    <row r="4" spans="1:5" x14ac:dyDescent="0.25">
      <c r="A4" s="4">
        <v>1</v>
      </c>
      <c r="B4" s="2" t="s">
        <v>15</v>
      </c>
      <c r="C4" s="2" t="s">
        <v>17</v>
      </c>
    </row>
    <row r="5" spans="1:5" x14ac:dyDescent="0.25">
      <c r="A5" s="4">
        <v>2</v>
      </c>
      <c r="B5" s="2" t="s">
        <v>36</v>
      </c>
      <c r="C5" s="2" t="s">
        <v>18</v>
      </c>
    </row>
    <row r="6" spans="1:5" x14ac:dyDescent="0.25">
      <c r="A6" s="4">
        <v>3</v>
      </c>
      <c r="B6" s="2" t="s">
        <v>37</v>
      </c>
      <c r="C6" s="2" t="s">
        <v>19</v>
      </c>
    </row>
    <row r="7" spans="1:5" x14ac:dyDescent="0.25">
      <c r="A7" s="4">
        <v>4</v>
      </c>
      <c r="B7" s="2" t="s">
        <v>38</v>
      </c>
      <c r="C7" s="2" t="s">
        <v>20</v>
      </c>
    </row>
    <row r="8" spans="1:5" x14ac:dyDescent="0.25">
      <c r="A8" s="4">
        <v>5</v>
      </c>
      <c r="B8" s="2" t="s">
        <v>39</v>
      </c>
      <c r="C8" s="2" t="s">
        <v>21</v>
      </c>
    </row>
    <row r="9" spans="1:5" x14ac:dyDescent="0.25">
      <c r="A9" s="4">
        <v>6</v>
      </c>
      <c r="B9" s="2" t="s">
        <v>40</v>
      </c>
      <c r="C9" s="2" t="s">
        <v>22</v>
      </c>
    </row>
    <row r="10" spans="1:5" x14ac:dyDescent="0.25">
      <c r="A10" s="4">
        <v>7</v>
      </c>
      <c r="B10" s="2" t="s">
        <v>41</v>
      </c>
      <c r="C10" s="2" t="s">
        <v>23</v>
      </c>
    </row>
    <row r="11" spans="1:5" x14ac:dyDescent="0.25">
      <c r="A11" s="4">
        <v>8</v>
      </c>
      <c r="B11" s="2" t="s">
        <v>13</v>
      </c>
      <c r="C11" s="2" t="s">
        <v>24</v>
      </c>
    </row>
    <row r="12" spans="1:5" x14ac:dyDescent="0.25">
      <c r="A12" s="4">
        <v>9</v>
      </c>
      <c r="B12" s="2" t="s">
        <v>16</v>
      </c>
      <c r="C12" s="2" t="s">
        <v>46</v>
      </c>
    </row>
    <row r="13" spans="1:5" x14ac:dyDescent="0.25">
      <c r="A13" s="4">
        <v>10</v>
      </c>
      <c r="B13" s="2" t="s">
        <v>10</v>
      </c>
      <c r="C13" s="2" t="s">
        <v>25</v>
      </c>
    </row>
    <row r="14" spans="1:5" x14ac:dyDescent="0.25">
      <c r="A14" s="4">
        <v>11</v>
      </c>
      <c r="B14" s="2" t="s">
        <v>12</v>
      </c>
      <c r="C14" s="2" t="s">
        <v>26</v>
      </c>
    </row>
    <row r="15" spans="1:5" x14ac:dyDescent="0.25">
      <c r="A15" s="4">
        <v>12</v>
      </c>
      <c r="B15" s="2" t="s">
        <v>9</v>
      </c>
      <c r="C15" s="2" t="s">
        <v>27</v>
      </c>
    </row>
    <row r="16" spans="1:5" x14ac:dyDescent="0.25">
      <c r="A16" s="4">
        <v>13</v>
      </c>
      <c r="B16" s="2" t="s">
        <v>8</v>
      </c>
      <c r="C16" s="2" t="s">
        <v>28</v>
      </c>
    </row>
    <row r="17" spans="1:3" x14ac:dyDescent="0.25">
      <c r="A17" s="4">
        <v>14</v>
      </c>
      <c r="B17" s="2" t="s">
        <v>7</v>
      </c>
      <c r="C17" s="2" t="s">
        <v>29</v>
      </c>
    </row>
    <row r="18" spans="1:3" x14ac:dyDescent="0.25">
      <c r="A18" s="4">
        <v>15</v>
      </c>
      <c r="B18" s="2" t="s">
        <v>42</v>
      </c>
      <c r="C18" s="2" t="s">
        <v>30</v>
      </c>
    </row>
    <row r="19" spans="1:3" x14ac:dyDescent="0.25">
      <c r="A19" s="4">
        <v>16</v>
      </c>
      <c r="B19" s="2" t="s">
        <v>14</v>
      </c>
      <c r="C19" s="2" t="s">
        <v>31</v>
      </c>
    </row>
    <row r="20" spans="1:3" x14ac:dyDescent="0.25">
      <c r="A20" s="4">
        <v>17</v>
      </c>
      <c r="B20" s="2" t="s">
        <v>11</v>
      </c>
      <c r="C20" s="2" t="s">
        <v>32</v>
      </c>
    </row>
    <row r="21" spans="1:3" x14ac:dyDescent="0.25">
      <c r="A21" s="4">
        <v>18</v>
      </c>
      <c r="B21" s="2" t="s">
        <v>43</v>
      </c>
      <c r="C21" s="2" t="s">
        <v>33</v>
      </c>
    </row>
    <row r="22" spans="1:3" x14ac:dyDescent="0.25">
      <c r="A22" s="4">
        <v>19</v>
      </c>
      <c r="B22" s="2" t="s">
        <v>44</v>
      </c>
      <c r="C22" s="2" t="s">
        <v>34</v>
      </c>
    </row>
    <row r="23" spans="1:3" x14ac:dyDescent="0.25">
      <c r="A23" s="4">
        <v>20</v>
      </c>
      <c r="B23" s="2" t="s">
        <v>45</v>
      </c>
      <c r="C23" s="2" t="s">
        <v>35</v>
      </c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2023-11-20T08:39:15Z</dcterms:modified>
</cp:coreProperties>
</file>